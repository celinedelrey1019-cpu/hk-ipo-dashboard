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s Table" sheetId="1" state="visible" r:id="rId3"/>
    <sheet name="使用说明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<sst xmlns="http://schemas.openxmlformats.org/spreadsheetml/2006/main" count="158" uniqueCount="153">
  <si>
    <r>
      <rPr>
        <b val="true"/>
        <sz val="13"/>
        <color rgb="FFFFFFFF"/>
        <rFont val="DejaVu Sans"/>
        <family val="2"/>
      </rPr>
      <t xml:space="preserve">港股打新 — </t>
    </r>
    <r>
      <rPr>
        <b val="true"/>
        <sz val="13"/>
        <color rgb="FFFFFFFF"/>
        <rFont val="Arial"/>
        <family val="0"/>
        <charset val="1"/>
      </rPr>
      <t xml:space="preserve">Comparable Company Analysis (Comps)</t>
    </r>
  </si>
  <si>
    <r>
      <rPr>
        <b val="true"/>
        <sz val="9"/>
        <color rgb="FF000000"/>
        <rFont val="DejaVu Sans"/>
        <family val="2"/>
      </rPr>
      <t xml:space="preserve">估值日期 </t>
    </r>
    <r>
      <rPr>
        <b val="true"/>
        <sz val="9"/>
        <color rgb="FF000000"/>
        <rFont val="Arial"/>
        <family val="0"/>
        <charset val="1"/>
      </rPr>
      <t xml:space="preserve">Valuation Date:</t>
    </r>
  </si>
  <si>
    <t xml:space="preserve">2026-04-07</t>
  </si>
  <si>
    <r>
      <rPr>
        <b val="true"/>
        <sz val="9"/>
        <color rgb="FF000000"/>
        <rFont val="DejaVu Sans"/>
        <family val="2"/>
      </rPr>
      <t xml:space="preserve">货币 </t>
    </r>
    <r>
      <rPr>
        <b val="true"/>
        <sz val="9"/>
        <color rgb="FF000000"/>
        <rFont val="Arial"/>
        <family val="0"/>
        <charset val="1"/>
      </rPr>
      <t xml:space="preserve">Currency: HKD  |  </t>
    </r>
    <r>
      <rPr>
        <b val="true"/>
        <sz val="9"/>
        <color rgb="FF000000"/>
        <rFont val="DejaVu Sans"/>
        <family val="2"/>
      </rPr>
      <t xml:space="preserve">单位 </t>
    </r>
    <r>
      <rPr>
        <b val="true"/>
        <sz val="9"/>
        <color rgb="FF000000"/>
        <rFont val="Arial"/>
        <family val="0"/>
        <charset val="1"/>
      </rPr>
      <t xml:space="preserve">Unit: HKD millions</t>
    </r>
  </si>
  <si>
    <r>
      <rPr>
        <b val="true"/>
        <sz val="8"/>
        <color rgb="FFFFFFFF"/>
        <rFont val="DejaVu Sans"/>
        <family val="2"/>
      </rPr>
      <t xml:space="preserve">公司信息 </t>
    </r>
    <r>
      <rPr>
        <b val="true"/>
        <sz val="8"/>
        <color rgb="FFFFFFFF"/>
        <rFont val="Arial"/>
        <family val="0"/>
        <charset val="1"/>
      </rPr>
      <t xml:space="preserve">Company Info</t>
    </r>
  </si>
  <si>
    <r>
      <rPr>
        <b val="true"/>
        <sz val="8"/>
        <color rgb="FFFFFFFF"/>
        <rFont val="DejaVu Sans"/>
        <family val="2"/>
      </rPr>
      <t xml:space="preserve">市场数据 </t>
    </r>
    <r>
      <rPr>
        <b val="true"/>
        <sz val="8"/>
        <color rgb="FFFFFFFF"/>
        <rFont val="Arial"/>
        <family val="0"/>
        <charset val="1"/>
      </rPr>
      <t xml:space="preserve">Market Data (HKD mm)</t>
    </r>
  </si>
  <si>
    <r>
      <rPr>
        <b val="true"/>
        <sz val="8"/>
        <color rgb="FFFFFFFF"/>
        <rFont val="DejaVu Sans"/>
        <family val="2"/>
      </rPr>
      <t xml:space="preserve">收入 </t>
    </r>
    <r>
      <rPr>
        <b val="true"/>
        <sz val="8"/>
        <color rgb="FFFFFFFF"/>
        <rFont val="Arial"/>
        <family val="0"/>
        <charset val="1"/>
      </rPr>
      <t xml:space="preserve">&amp; </t>
    </r>
    <r>
      <rPr>
        <b val="true"/>
        <sz val="8"/>
        <color rgb="FFFFFFFF"/>
        <rFont val="DejaVu Sans"/>
        <family val="2"/>
      </rPr>
      <t xml:space="preserve">利润率 </t>
    </r>
    <r>
      <rPr>
        <b val="true"/>
        <sz val="8"/>
        <color rgb="FFFFFFFF"/>
        <rFont val="Arial"/>
        <family val="0"/>
        <charset val="1"/>
      </rPr>
      <t xml:space="preserve">Revenue &amp; Margins</t>
    </r>
  </si>
  <si>
    <t xml:space="preserve">EBITDA</t>
  </si>
  <si>
    <r>
      <rPr>
        <b val="true"/>
        <sz val="8"/>
        <color rgb="FFFFFFFF"/>
        <rFont val="DejaVu Sans"/>
        <family val="2"/>
      </rPr>
      <t xml:space="preserve">净利润 </t>
    </r>
    <r>
      <rPr>
        <b val="true"/>
        <sz val="8"/>
        <color rgb="FFFFFFFF"/>
        <rFont val="Arial"/>
        <family val="0"/>
        <charset val="1"/>
      </rPr>
      <t xml:space="preserve">Net Income &amp; EPS</t>
    </r>
  </si>
  <si>
    <r>
      <rPr>
        <b val="true"/>
        <sz val="8"/>
        <color rgb="FFFFFFFF"/>
        <rFont val="Arial"/>
        <family val="0"/>
        <charset val="1"/>
      </rPr>
      <t xml:space="preserve">EV</t>
    </r>
    <r>
      <rPr>
        <b val="true"/>
        <sz val="8"/>
        <color rgb="FFFFFFFF"/>
        <rFont val="DejaVu Sans"/>
        <family val="2"/>
      </rPr>
      <t xml:space="preserve">倍数 </t>
    </r>
    <r>
      <rPr>
        <b val="true"/>
        <sz val="8"/>
        <color rgb="FFFFFFFF"/>
        <rFont val="Arial"/>
        <family val="0"/>
        <charset val="1"/>
      </rPr>
      <t xml:space="preserve">EV-Based Multiples</t>
    </r>
  </si>
  <si>
    <r>
      <rPr>
        <b val="true"/>
        <sz val="8"/>
        <color rgb="FFFFFFFF"/>
        <rFont val="DejaVu Sans"/>
        <family val="2"/>
      </rPr>
      <t xml:space="preserve">权益倍数 </t>
    </r>
    <r>
      <rPr>
        <b val="true"/>
        <sz val="8"/>
        <color rgb="FFFFFFFF"/>
        <rFont val="Arial"/>
        <family val="0"/>
        <charset val="1"/>
      </rPr>
      <t xml:space="preserve">Equity Multiples</t>
    </r>
  </si>
  <si>
    <t xml:space="preserve">#</t>
  </si>
  <si>
    <r>
      <rPr>
        <b val="true"/>
        <sz val="7.5"/>
        <color rgb="FFFFFFFF"/>
        <rFont val="DejaVu Sans"/>
        <family val="2"/>
      </rPr>
      <t xml:space="preserve">公司名称
</t>
    </r>
    <r>
      <rPr>
        <b val="true"/>
        <sz val="7.5"/>
        <color rgb="FFFFFFFF"/>
        <rFont val="Arial"/>
        <family val="0"/>
        <charset val="1"/>
      </rPr>
      <t xml:space="preserve">Company Name</t>
    </r>
  </si>
  <si>
    <r>
      <rPr>
        <b val="true"/>
        <sz val="7.5"/>
        <color rgb="FFFFFFFF"/>
        <rFont val="DejaVu Sans"/>
        <family val="2"/>
      </rPr>
      <t xml:space="preserve">股票代码
</t>
    </r>
    <r>
      <rPr>
        <b val="true"/>
        <sz val="7.5"/>
        <color rgb="FFFFFFFF"/>
        <rFont val="Arial"/>
        <family val="0"/>
        <charset val="1"/>
      </rPr>
      <t xml:space="preserve">Ticker</t>
    </r>
  </si>
  <si>
    <r>
      <rPr>
        <b val="true"/>
        <sz val="7.5"/>
        <color rgb="FFFFFFFF"/>
        <rFont val="DejaVu Sans"/>
        <family val="2"/>
      </rPr>
      <t xml:space="preserve">上市地
</t>
    </r>
    <r>
      <rPr>
        <b val="true"/>
        <sz val="7.5"/>
        <color rgb="FFFFFFFF"/>
        <rFont val="Arial"/>
        <family val="0"/>
        <charset val="1"/>
      </rPr>
      <t xml:space="preserve">Exch.</t>
    </r>
  </si>
  <si>
    <r>
      <rPr>
        <b val="true"/>
        <sz val="7.5"/>
        <color rgb="FFFFFFFF"/>
        <rFont val="DejaVu Sans"/>
        <family val="2"/>
      </rPr>
      <t xml:space="preserve">主营业务
</t>
    </r>
    <r>
      <rPr>
        <b val="true"/>
        <sz val="7.5"/>
        <color rgb="FFFFFFFF"/>
        <rFont val="Arial"/>
        <family val="0"/>
        <charset val="1"/>
      </rPr>
      <t xml:space="preserve">Business Desc.</t>
    </r>
  </si>
  <si>
    <r>
      <rPr>
        <b val="true"/>
        <sz val="7.5"/>
        <color rgb="FFFFFFFF"/>
        <rFont val="DejaVu Sans"/>
        <family val="2"/>
      </rPr>
      <t xml:space="preserve">股价
</t>
    </r>
    <r>
      <rPr>
        <b val="true"/>
        <sz val="7.5"/>
        <color rgb="FFFFFFFF"/>
        <rFont val="Arial"/>
        <family val="0"/>
        <charset val="1"/>
      </rPr>
      <t xml:space="preserve">Price
(HKD)</t>
    </r>
  </si>
  <si>
    <r>
      <rPr>
        <b val="true"/>
        <sz val="7.5"/>
        <color rgb="FFFFFFFF"/>
        <rFont val="DejaVu Sans"/>
        <family val="2"/>
      </rPr>
      <t xml:space="preserve">市值
</t>
    </r>
    <r>
      <rPr>
        <b val="true"/>
        <sz val="7.5"/>
        <color rgb="FFFFFFFF"/>
        <rFont val="Arial"/>
        <family val="0"/>
        <charset val="1"/>
      </rPr>
      <t xml:space="preserve">Mkt Cap</t>
    </r>
  </si>
  <si>
    <r>
      <rPr>
        <b val="true"/>
        <sz val="7.5"/>
        <color rgb="FFFFFFFF"/>
        <rFont val="DejaVu Sans"/>
        <family val="2"/>
      </rPr>
      <t xml:space="preserve">净债务
</t>
    </r>
    <r>
      <rPr>
        <b val="true"/>
        <sz val="7.5"/>
        <color rgb="FFFFFFFF"/>
        <rFont val="Arial"/>
        <family val="0"/>
        <charset val="1"/>
      </rPr>
      <t xml:space="preserve">Net Debt</t>
    </r>
  </si>
  <si>
    <t xml:space="preserve">EV</t>
  </si>
  <si>
    <t xml:space="preserve">52W
High</t>
  </si>
  <si>
    <t xml:space="preserve">52W
Low</t>
  </si>
  <si>
    <t xml:space="preserve">LTM
Revenue</t>
  </si>
  <si>
    <t xml:space="preserve">NTM
Revenue</t>
  </si>
  <si>
    <t xml:space="preserve">Rev
YoY Gr.</t>
  </si>
  <si>
    <t xml:space="preserve">Gross
Margin</t>
  </si>
  <si>
    <t xml:space="preserve">Net
Margin</t>
  </si>
  <si>
    <t xml:space="preserve">LTM
EBITDA</t>
  </si>
  <si>
    <t xml:space="preserve">NTM
EBITDA</t>
  </si>
  <si>
    <t xml:space="preserve">LTM
EBITDA
Mgn</t>
  </si>
  <si>
    <t xml:space="preserve">NTM
EBITDA
Mgn</t>
  </si>
  <si>
    <t xml:space="preserve">NTM
EBITDA
Gr.</t>
  </si>
  <si>
    <t xml:space="preserve">LTM
Net
Income</t>
  </si>
  <si>
    <t xml:space="preserve">NTM
Net
Income</t>
  </si>
  <si>
    <t xml:space="preserve">LTM
EPS</t>
  </si>
  <si>
    <t xml:space="preserve">NTM
EPS</t>
  </si>
  <si>
    <t xml:space="preserve">NTM
EPS Gr.</t>
  </si>
  <si>
    <t xml:space="preserve">EV/Rev
LTM</t>
  </si>
  <si>
    <t xml:space="preserve">EV/Rev
NTM</t>
  </si>
  <si>
    <t xml:space="preserve">EV/
EBITDA
LTM</t>
  </si>
  <si>
    <t xml:space="preserve">EV/
EBITDA
NTM</t>
  </si>
  <si>
    <t xml:space="preserve">EV/Rev
NTM
Gr.Adj.</t>
  </si>
  <si>
    <t xml:space="preserve">P/E
LTM</t>
  </si>
  <si>
    <t xml:space="preserve">P/E
NTM</t>
  </si>
  <si>
    <t xml:space="preserve">PEG
(NTM)</t>
  </si>
  <si>
    <t xml:space="preserve">P/B</t>
  </si>
  <si>
    <t xml:space="preserve">Div
Yield</t>
  </si>
  <si>
    <t xml:space="preserve">腾讯控股</t>
  </si>
  <si>
    <t xml:space="preserve">0700.HK</t>
  </si>
  <si>
    <t xml:space="preserve">HKEX</t>
  </si>
  <si>
    <r>
      <rPr>
        <sz val="8"/>
        <color rgb="FF0000FF"/>
        <rFont val="DejaVu Sans"/>
        <family val="2"/>
      </rPr>
      <t xml:space="preserve">互联网平台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游戏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金融科技</t>
    </r>
  </si>
  <si>
    <t xml:space="preserve">阿里巴巴</t>
  </si>
  <si>
    <t xml:space="preserve">9988.HK</t>
  </si>
  <si>
    <r>
      <rPr>
        <sz val="8"/>
        <color rgb="FF0000FF"/>
        <rFont val="DejaVu Sans"/>
        <family val="2"/>
      </rPr>
      <t xml:space="preserve">电商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云计算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本地生活</t>
    </r>
  </si>
  <si>
    <t xml:space="preserve">美团</t>
  </si>
  <si>
    <t xml:space="preserve">3690.HK</t>
  </si>
  <si>
    <r>
      <rPr>
        <sz val="8"/>
        <color rgb="FF0000FF"/>
        <rFont val="DejaVu Sans"/>
        <family val="2"/>
      </rPr>
      <t xml:space="preserve">本地生活服务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外卖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酒旅</t>
    </r>
  </si>
  <si>
    <t xml:space="preserve">京东集团</t>
  </si>
  <si>
    <t xml:space="preserve">9618.HK</t>
  </si>
  <si>
    <r>
      <rPr>
        <sz val="8"/>
        <color rgb="FF0000FF"/>
        <rFont val="DejaVu Sans"/>
        <family val="2"/>
      </rPr>
      <t xml:space="preserve">电商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零售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物流</t>
    </r>
  </si>
  <si>
    <t xml:space="preserve">网易</t>
  </si>
  <si>
    <t xml:space="preserve">9999.HK</t>
  </si>
  <si>
    <r>
      <rPr>
        <sz val="8"/>
        <color rgb="FF0000FF"/>
        <rFont val="DejaVu Sans"/>
        <family val="2"/>
      </rPr>
      <t xml:space="preserve">游戏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教育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音乐流媒体</t>
    </r>
  </si>
  <si>
    <t xml:space="preserve">★</t>
  </si>
  <si>
    <r>
      <rPr>
        <b val="true"/>
        <sz val="8"/>
        <color rgb="FF0000FF"/>
        <rFont val="DejaVu Sans"/>
        <family val="2"/>
      </rPr>
      <t xml:space="preserve">【</t>
    </r>
    <r>
      <rPr>
        <b val="true"/>
        <sz val="8"/>
        <color rgb="FF0000FF"/>
        <rFont val="Arial"/>
        <family val="0"/>
        <charset val="1"/>
      </rPr>
      <t xml:space="preserve">IPO</t>
    </r>
    <r>
      <rPr>
        <b val="true"/>
        <sz val="8"/>
        <color rgb="FF0000FF"/>
        <rFont val="DejaVu Sans"/>
        <family val="2"/>
      </rPr>
      <t xml:space="preserve">目标公司】请填写</t>
    </r>
  </si>
  <si>
    <t xml:space="preserve">XXXX.HK</t>
  </si>
  <si>
    <t xml:space="preserve">请填写业务描述</t>
  </si>
  <si>
    <r>
      <rPr>
        <b val="true"/>
        <sz val="8"/>
        <color rgb="FF1F3864"/>
        <rFont val="DejaVu Sans"/>
        <family val="2"/>
      </rPr>
      <t xml:space="preserve">中位数 </t>
    </r>
    <r>
      <rPr>
        <b val="true"/>
        <sz val="8"/>
        <color rgb="FF1F3864"/>
        <rFont val="Arial"/>
        <family val="0"/>
        <charset val="1"/>
      </rPr>
      <t xml:space="preserve">Median</t>
    </r>
  </si>
  <si>
    <r>
      <rPr>
        <sz val="8"/>
        <color rgb="FF1F3864"/>
        <rFont val="DejaVu Sans"/>
        <family val="2"/>
      </rPr>
      <t xml:space="preserve">均值 </t>
    </r>
    <r>
      <rPr>
        <sz val="8"/>
        <color rgb="FF1F3864"/>
        <rFont val="Arial"/>
        <family val="0"/>
        <charset val="1"/>
      </rPr>
      <t xml:space="preserve">Mean</t>
    </r>
  </si>
  <si>
    <t xml:space="preserve">25th Percentile</t>
  </si>
  <si>
    <t xml:space="preserve">75th Percentile</t>
  </si>
  <si>
    <r>
      <rPr>
        <b val="true"/>
        <sz val="11"/>
        <color rgb="FFFFFFFF"/>
        <rFont val="Arial"/>
        <family val="0"/>
        <charset val="1"/>
      </rPr>
      <t xml:space="preserve">IPO</t>
    </r>
    <r>
      <rPr>
        <b val="true"/>
        <sz val="11"/>
        <color rgb="FFFFFFFF"/>
        <rFont val="DejaVu Sans"/>
        <family val="2"/>
      </rPr>
      <t xml:space="preserve">定价分析 — </t>
    </r>
    <r>
      <rPr>
        <b val="true"/>
        <sz val="11"/>
        <color rgb="FFFFFFFF"/>
        <rFont val="Arial"/>
        <family val="0"/>
        <charset val="1"/>
      </rPr>
      <t xml:space="preserve">IPO vs. Comparable Companies</t>
    </r>
  </si>
  <si>
    <r>
      <rPr>
        <b val="true"/>
        <sz val="8"/>
        <rFont val="Arial"/>
        <family val="0"/>
        <charset val="1"/>
      </rPr>
      <t xml:space="preserve">IPO</t>
    </r>
    <r>
      <rPr>
        <b val="true"/>
        <sz val="8"/>
        <rFont val="DejaVu Sans"/>
        <family val="2"/>
      </rPr>
      <t xml:space="preserve">发行价 </t>
    </r>
    <r>
      <rPr>
        <b val="true"/>
        <sz val="8"/>
        <rFont val="Arial"/>
        <family val="0"/>
        <charset val="1"/>
      </rPr>
      <t xml:space="preserve">(HKD) — </t>
    </r>
    <r>
      <rPr>
        <b val="true"/>
        <sz val="8"/>
        <rFont val="DejaVu Sans"/>
        <family val="2"/>
      </rPr>
      <t xml:space="preserve">低</t>
    </r>
    <r>
      <rPr>
        <b val="true"/>
        <sz val="8"/>
        <rFont val="Arial"/>
        <family val="0"/>
        <charset val="1"/>
      </rPr>
      <t xml:space="preserve">/</t>
    </r>
    <r>
      <rPr>
        <b val="true"/>
        <sz val="8"/>
        <rFont val="DejaVu Sans"/>
        <family val="2"/>
      </rPr>
      <t xml:space="preserve">中</t>
    </r>
    <r>
      <rPr>
        <b val="true"/>
        <sz val="8"/>
        <rFont val="Arial"/>
        <family val="0"/>
        <charset val="1"/>
      </rPr>
      <t xml:space="preserve">/</t>
    </r>
    <r>
      <rPr>
        <b val="true"/>
        <sz val="8"/>
        <rFont val="DejaVu Sans"/>
        <family val="2"/>
      </rPr>
      <t xml:space="preserve">高</t>
    </r>
  </si>
  <si>
    <r>
      <rPr>
        <sz val="8"/>
        <color rgb="FF0000FF"/>
        <rFont val="DejaVu Sans"/>
        <family val="2"/>
      </rPr>
      <t xml:space="preserve">发行价 </t>
    </r>
    <r>
      <rPr>
        <sz val="8"/>
        <color rgb="FF0000FF"/>
        <rFont val="Arial"/>
        <family val="0"/>
        <charset val="1"/>
      </rPr>
      <t xml:space="preserve">Low</t>
    </r>
  </si>
  <si>
    <r>
      <rPr>
        <sz val="8"/>
        <color rgb="FF0000FF"/>
        <rFont val="DejaVu Sans"/>
        <family val="2"/>
      </rPr>
      <t xml:space="preserve">发行价 </t>
    </r>
    <r>
      <rPr>
        <sz val="8"/>
        <color rgb="FF0000FF"/>
        <rFont val="Arial"/>
        <family val="0"/>
        <charset val="1"/>
      </rPr>
      <t xml:space="preserve">Mid</t>
    </r>
  </si>
  <si>
    <r>
      <rPr>
        <sz val="8"/>
        <color rgb="FF0000FF"/>
        <rFont val="DejaVu Sans"/>
        <family val="2"/>
      </rPr>
      <t xml:space="preserve">发行价 </t>
    </r>
    <r>
      <rPr>
        <sz val="8"/>
        <color rgb="FF0000FF"/>
        <rFont val="Arial"/>
        <family val="0"/>
        <charset val="1"/>
      </rPr>
      <t xml:space="preserve">High</t>
    </r>
  </si>
  <si>
    <r>
      <rPr>
        <b val="true"/>
        <sz val="8"/>
        <rFont val="DejaVu Sans"/>
        <family val="2"/>
      </rPr>
      <t xml:space="preserve">对应市值 </t>
    </r>
    <r>
      <rPr>
        <b val="true"/>
        <sz val="8"/>
        <rFont val="Arial"/>
        <family val="0"/>
        <charset val="1"/>
      </rPr>
      <t xml:space="preserve">(HKD mm)</t>
    </r>
  </si>
  <si>
    <r>
      <rPr>
        <sz val="8"/>
        <color rgb="FF0000FF"/>
        <rFont val="DejaVu Sans"/>
        <family val="2"/>
      </rPr>
      <t xml:space="preserve">市值 </t>
    </r>
    <r>
      <rPr>
        <sz val="8"/>
        <color rgb="FF0000FF"/>
        <rFont val="Arial"/>
        <family val="0"/>
        <charset val="1"/>
      </rPr>
      <t xml:space="preserve">Low</t>
    </r>
  </si>
  <si>
    <r>
      <rPr>
        <sz val="8"/>
        <color rgb="FF0000FF"/>
        <rFont val="DejaVu Sans"/>
        <family val="2"/>
      </rPr>
      <t xml:space="preserve">市值 </t>
    </r>
    <r>
      <rPr>
        <sz val="8"/>
        <color rgb="FF0000FF"/>
        <rFont val="Arial"/>
        <family val="0"/>
        <charset val="1"/>
      </rPr>
      <t xml:space="preserve">Mid</t>
    </r>
  </si>
  <si>
    <r>
      <rPr>
        <sz val="8"/>
        <color rgb="FF0000FF"/>
        <rFont val="DejaVu Sans"/>
        <family val="2"/>
      </rPr>
      <t xml:space="preserve">市值 </t>
    </r>
    <r>
      <rPr>
        <sz val="8"/>
        <color rgb="FF0000FF"/>
        <rFont val="Arial"/>
        <family val="0"/>
        <charset val="1"/>
      </rPr>
      <t xml:space="preserve">High</t>
    </r>
  </si>
  <si>
    <r>
      <rPr>
        <b val="true"/>
        <sz val="8"/>
        <rFont val="DejaVu Sans"/>
        <family val="2"/>
      </rPr>
      <t xml:space="preserve">对应</t>
    </r>
    <r>
      <rPr>
        <b val="true"/>
        <sz val="8"/>
        <rFont val="Arial"/>
        <family val="0"/>
        <charset val="1"/>
      </rPr>
      <t xml:space="preserve">EV (HKD mm)</t>
    </r>
  </si>
  <si>
    <t xml:space="preserve">EV Low</t>
  </si>
  <si>
    <t xml:space="preserve">EV Mid</t>
  </si>
  <si>
    <t xml:space="preserve">EV High</t>
  </si>
  <si>
    <r>
      <rPr>
        <b val="true"/>
        <sz val="8"/>
        <rFont val="DejaVu Sans"/>
        <family val="2"/>
      </rPr>
      <t xml:space="preserve">隐含</t>
    </r>
    <r>
      <rPr>
        <b val="true"/>
        <sz val="8"/>
        <rFont val="Arial"/>
        <family val="0"/>
        <charset val="1"/>
      </rPr>
      <t xml:space="preserve">P/E NTM</t>
    </r>
  </si>
  <si>
    <t xml:space="preserve">P/E Low</t>
  </si>
  <si>
    <t xml:space="preserve">P/E Mid</t>
  </si>
  <si>
    <t xml:space="preserve">P/E High</t>
  </si>
  <si>
    <r>
      <rPr>
        <b val="true"/>
        <sz val="8"/>
        <rFont val="Arial"/>
        <family val="0"/>
        <charset val="1"/>
      </rPr>
      <t xml:space="preserve">Comps</t>
    </r>
    <r>
      <rPr>
        <b val="true"/>
        <sz val="8"/>
        <rFont val="DejaVu Sans"/>
        <family val="2"/>
      </rPr>
      <t xml:space="preserve">中位数 </t>
    </r>
    <r>
      <rPr>
        <b val="true"/>
        <sz val="8"/>
        <rFont val="Arial"/>
        <family val="0"/>
        <charset val="1"/>
      </rPr>
      <t xml:space="preserve">P/E NTM</t>
    </r>
  </si>
  <si>
    <r>
      <rPr>
        <sz val="8"/>
        <color rgb="FF0000FF"/>
        <rFont val="DejaVu Sans"/>
        <family val="2"/>
      </rPr>
      <t xml:space="preserve">折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溢价 </t>
    </r>
    <r>
      <rPr>
        <sz val="8"/>
        <color rgb="FF0000FF"/>
        <rFont val="Arial"/>
        <family val="0"/>
        <charset val="1"/>
      </rPr>
      <t xml:space="preserve">Low =IFERROR(F20/F21-1,"NM")</t>
    </r>
  </si>
  <si>
    <r>
      <rPr>
        <sz val="8"/>
        <color rgb="FF0000FF"/>
        <rFont val="DejaVu Sans"/>
        <family val="2"/>
      </rPr>
      <t xml:space="preserve">折</t>
    </r>
    <r>
      <rPr>
        <sz val="8"/>
        <color rgb="FF0000FF"/>
        <rFont val="Arial"/>
        <family val="0"/>
        <charset val="1"/>
      </rPr>
      <t xml:space="preserve">/</t>
    </r>
    <r>
      <rPr>
        <sz val="8"/>
        <color rgb="FF0000FF"/>
        <rFont val="DejaVu Sans"/>
        <family val="2"/>
      </rPr>
      <t xml:space="preserve">溢价 </t>
    </r>
    <r>
      <rPr>
        <sz val="8"/>
        <color rgb="FF0000FF"/>
        <rFont val="Arial"/>
        <family val="0"/>
        <charset val="1"/>
      </rPr>
      <t xml:space="preserve">High =IFERROR(L20/F21-1,"NM")</t>
    </r>
  </si>
  <si>
    <r>
      <rPr>
        <b val="true"/>
        <sz val="11"/>
        <color rgb="FFFFFFFF"/>
        <rFont val="DejaVu Sans"/>
        <family val="2"/>
      </rPr>
      <t xml:space="preserve">认购建议 </t>
    </r>
    <r>
      <rPr>
        <b val="true"/>
        <sz val="11"/>
        <color rgb="FFFFFFFF"/>
        <rFont val="Arial"/>
        <family val="0"/>
        <charset val="1"/>
      </rPr>
      <t xml:space="preserve">/ Subscription Recommendation</t>
    </r>
  </si>
  <si>
    <t xml:space="preserve">✅ 积极认购</t>
  </si>
  <si>
    <r>
      <rPr>
        <sz val="8"/>
        <rFont val="Arial"/>
        <family val="0"/>
        <charset val="1"/>
      </rPr>
      <t xml:space="preserve">IPO</t>
    </r>
    <r>
      <rPr>
        <sz val="8"/>
        <rFont val="DejaVu Sans"/>
        <family val="2"/>
      </rPr>
      <t xml:space="preserve">隐含倍数 折价 </t>
    </r>
    <r>
      <rPr>
        <sz val="8"/>
        <rFont val="Arial"/>
        <family val="0"/>
        <charset val="1"/>
      </rPr>
      <t xml:space="preserve">&gt;20% vs. Comps</t>
    </r>
    <r>
      <rPr>
        <sz val="8"/>
        <rFont val="DejaVu Sans"/>
        <family val="2"/>
      </rPr>
      <t xml:space="preserve">中位数 — 定价吸引</t>
    </r>
  </si>
  <si>
    <t xml:space="preserve">🟡 适量认购</t>
  </si>
  <si>
    <r>
      <rPr>
        <sz val="8"/>
        <rFont val="Arial"/>
        <family val="0"/>
        <charset val="1"/>
      </rPr>
      <t xml:space="preserve">IPO</t>
    </r>
    <r>
      <rPr>
        <sz val="8"/>
        <rFont val="DejaVu Sans"/>
        <family val="2"/>
      </rPr>
      <t xml:space="preserve">隐含倍数 折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溢价 </t>
    </r>
    <r>
      <rPr>
        <sz val="8"/>
        <rFont val="Arial"/>
        <family val="0"/>
        <charset val="1"/>
      </rPr>
      <t xml:space="preserve">±10% vs. Comps</t>
    </r>
    <r>
      <rPr>
        <sz val="8"/>
        <rFont val="DejaVu Sans"/>
        <family val="2"/>
      </rPr>
      <t xml:space="preserve">中位数 — 合理定价</t>
    </r>
  </si>
  <si>
    <t xml:space="preserve">⚠️ 谨慎认购</t>
  </si>
  <si>
    <r>
      <rPr>
        <sz val="8"/>
        <rFont val="Arial"/>
        <family val="0"/>
        <charset val="1"/>
      </rPr>
      <t xml:space="preserve">IPO</t>
    </r>
    <r>
      <rPr>
        <sz val="8"/>
        <rFont val="DejaVu Sans"/>
        <family val="2"/>
      </rPr>
      <t xml:space="preserve">隐含倍数 溢价 </t>
    </r>
    <r>
      <rPr>
        <sz val="8"/>
        <rFont val="Arial"/>
        <family val="0"/>
        <charset val="1"/>
      </rPr>
      <t xml:space="preserve">10–25% vs. Comps</t>
    </r>
    <r>
      <rPr>
        <sz val="8"/>
        <rFont val="DejaVu Sans"/>
        <family val="2"/>
      </rPr>
      <t xml:space="preserve">中位数 — 需成长催化</t>
    </r>
  </si>
  <si>
    <t xml:space="preserve">❌ 不建议认购</t>
  </si>
  <si>
    <r>
      <rPr>
        <sz val="8"/>
        <rFont val="Arial"/>
        <family val="0"/>
        <charset val="1"/>
      </rPr>
      <t xml:space="preserve">IPO</t>
    </r>
    <r>
      <rPr>
        <sz val="8"/>
        <rFont val="DejaVu Sans"/>
        <family val="2"/>
      </rPr>
      <t xml:space="preserve">隐含倍数 溢价 </t>
    </r>
    <r>
      <rPr>
        <sz val="8"/>
        <rFont val="Arial"/>
        <family val="0"/>
        <charset val="1"/>
      </rPr>
      <t xml:space="preserve">&gt;25% vs. Comps</t>
    </r>
    <r>
      <rPr>
        <sz val="8"/>
        <rFont val="DejaVu Sans"/>
        <family val="2"/>
      </rPr>
      <t xml:space="preserve">中位数 — 估值过高</t>
    </r>
  </si>
  <si>
    <r>
      <rPr>
        <b val="true"/>
        <sz val="13"/>
        <color rgb="FFFFFFFF"/>
        <rFont val="DejaVu Sans"/>
        <family val="2"/>
      </rPr>
      <t xml:space="preserve">港股打新 </t>
    </r>
    <r>
      <rPr>
        <b val="true"/>
        <sz val="13"/>
        <color rgb="FFFFFFFF"/>
        <rFont val="Arial"/>
        <family val="0"/>
        <charset val="1"/>
      </rPr>
      <t xml:space="preserve">Comps</t>
    </r>
    <r>
      <rPr>
        <b val="true"/>
        <sz val="13"/>
        <color rgb="FFFFFFFF"/>
        <rFont val="DejaVu Sans"/>
        <family val="2"/>
      </rPr>
      <t xml:space="preserve">模板 — 使用说明 </t>
    </r>
    <r>
      <rPr>
        <b val="true"/>
        <sz val="13"/>
        <color rgb="FFFFFFFF"/>
        <rFont val="Arial"/>
        <family val="0"/>
        <charset val="1"/>
      </rPr>
      <t xml:space="preserve">&amp; </t>
    </r>
    <r>
      <rPr>
        <b val="true"/>
        <sz val="13"/>
        <color rgb="FFFFFFFF"/>
        <rFont val="DejaVu Sans"/>
        <family val="2"/>
      </rPr>
      <t xml:space="preserve">操作指引</t>
    </r>
  </si>
  <si>
    <t xml:space="preserve">蓝色字体</t>
  </si>
  <si>
    <r>
      <rPr>
        <sz val="9"/>
        <color rgb="FF000000"/>
        <rFont val="DejaVu Sans"/>
        <family val="2"/>
      </rPr>
      <t xml:space="preserve">手工输入的硬编码数据 — 股价、财务数字、</t>
    </r>
    <r>
      <rPr>
        <sz val="9"/>
        <color rgb="FF000000"/>
        <rFont val="Arial"/>
        <family val="0"/>
        <charset val="1"/>
      </rPr>
      <t xml:space="preserve">P/B</t>
    </r>
    <r>
      <rPr>
        <sz val="9"/>
        <color rgb="FF000000"/>
        <rFont val="DejaVu Sans"/>
        <family val="2"/>
      </rPr>
      <t xml:space="preserve">等</t>
    </r>
  </si>
  <si>
    <t xml:space="preserve">黑色字体</t>
  </si>
  <si>
    <r>
      <rPr>
        <sz val="9"/>
        <color rgb="FF000000"/>
        <rFont val="DejaVu Sans"/>
        <family val="2"/>
      </rPr>
      <t xml:space="preserve">公式自动计算 — </t>
    </r>
    <r>
      <rPr>
        <sz val="9"/>
        <color rgb="FF000000"/>
        <rFont val="Arial"/>
        <family val="0"/>
        <charset val="1"/>
      </rPr>
      <t xml:space="preserve">EV</t>
    </r>
    <r>
      <rPr>
        <sz val="9"/>
        <color rgb="FF000000"/>
        <rFont val="DejaVu Sans"/>
        <family val="2"/>
      </rPr>
      <t xml:space="preserve">、估值倍数、增长率、利润率</t>
    </r>
  </si>
  <si>
    <t xml:space="preserve">黄色背景行 ★</t>
  </si>
  <si>
    <r>
      <rPr>
        <sz val="9"/>
        <color rgb="FF000000"/>
        <rFont val="Arial"/>
        <family val="0"/>
        <charset val="1"/>
      </rPr>
      <t xml:space="preserve">IPO</t>
    </r>
    <r>
      <rPr>
        <sz val="9"/>
        <color rgb="FF000000"/>
        <rFont val="DejaVu Sans"/>
        <family val="2"/>
      </rPr>
      <t xml:space="preserve">目标公司行，与可比公司横向对比</t>
    </r>
  </si>
  <si>
    <t xml:space="preserve">蓝色背景行</t>
  </si>
  <si>
    <r>
      <rPr>
        <sz val="9"/>
        <color rgb="FF000000"/>
        <rFont val="DejaVu Sans"/>
        <family val="2"/>
      </rPr>
      <t xml:space="preserve">统计汇总行 — 中位数、均值、</t>
    </r>
    <r>
      <rPr>
        <sz val="9"/>
        <color rgb="FF000000"/>
        <rFont val="Arial"/>
        <family val="0"/>
        <charset val="1"/>
      </rPr>
      <t xml:space="preserve">25th/75th</t>
    </r>
    <r>
      <rPr>
        <sz val="9"/>
        <color rgb="FF000000"/>
        <rFont val="DejaVu Sans"/>
        <family val="2"/>
      </rPr>
      <t xml:space="preserve">百分位</t>
    </r>
  </si>
  <si>
    <t xml:space="preserve">Step 1</t>
  </si>
  <si>
    <r>
      <rPr>
        <sz val="9"/>
        <color rgb="FF000000"/>
        <rFont val="DejaVu Sans"/>
        <family val="2"/>
      </rPr>
      <t xml:space="preserve">在</t>
    </r>
    <r>
      <rPr>
        <sz val="9"/>
        <color rgb="FF000000"/>
        <rFont val="Arial"/>
        <family val="0"/>
        <charset val="1"/>
      </rPr>
      <t xml:space="preserve">E2</t>
    </r>
    <r>
      <rPr>
        <sz val="9"/>
        <color rgb="FF000000"/>
        <rFont val="DejaVu Sans"/>
        <family val="2"/>
      </rPr>
      <t xml:space="preserve">单元格更新估值日期（格式：</t>
    </r>
    <r>
      <rPr>
        <sz val="9"/>
        <color rgb="FF000000"/>
        <rFont val="Arial"/>
        <family val="0"/>
        <charset val="1"/>
      </rPr>
      <t xml:space="preserve">YYYY-MM-DD</t>
    </r>
    <r>
      <rPr>
        <sz val="9"/>
        <color rgb="FF000000"/>
        <rFont val="DejaVu Sans"/>
        <family val="2"/>
      </rPr>
      <t xml:space="preserve">）</t>
    </r>
  </si>
  <si>
    <t xml:space="preserve">Step 2</t>
  </si>
  <si>
    <r>
      <rPr>
        <sz val="9"/>
        <color rgb="FF000000"/>
        <rFont val="DejaVu Sans"/>
        <family val="2"/>
      </rPr>
      <t xml:space="preserve">在</t>
    </r>
    <r>
      <rPr>
        <sz val="9"/>
        <color rgb="FF000000"/>
        <rFont val="Arial"/>
        <family val="0"/>
        <charset val="1"/>
      </rPr>
      <t xml:space="preserve">B-E</t>
    </r>
    <r>
      <rPr>
        <sz val="9"/>
        <color rgb="FF000000"/>
        <rFont val="DejaVu Sans"/>
        <family val="2"/>
      </rPr>
      <t xml:space="preserve">列填入可比公司基本信息（可增减行数）</t>
    </r>
  </si>
  <si>
    <t xml:space="preserve">Step 3</t>
  </si>
  <si>
    <r>
      <rPr>
        <sz val="9"/>
        <color rgb="FF000000"/>
        <rFont val="Arial"/>
        <family val="0"/>
        <charset val="1"/>
      </rPr>
      <t xml:space="preserve">F</t>
    </r>
    <r>
      <rPr>
        <sz val="9"/>
        <color rgb="FF000000"/>
        <rFont val="DejaVu Sans"/>
        <family val="2"/>
      </rPr>
      <t xml:space="preserve">列：填入股价（港元，截至估值日收盘）</t>
    </r>
  </si>
  <si>
    <t xml:space="preserve">Step 4</t>
  </si>
  <si>
    <r>
      <rPr>
        <sz val="9"/>
        <color rgb="FF000000"/>
        <rFont val="Arial"/>
        <family val="0"/>
        <charset val="1"/>
      </rPr>
      <t xml:space="preserve">G</t>
    </r>
    <r>
      <rPr>
        <sz val="9"/>
        <color rgb="FF000000"/>
        <rFont val="DejaVu Sans"/>
        <family val="2"/>
      </rPr>
      <t xml:space="preserve">列：填入总市值（港元百万） </t>
    </r>
    <r>
      <rPr>
        <sz val="9"/>
        <color rgb="FF000000"/>
        <rFont val="Arial"/>
        <family val="0"/>
        <charset val="1"/>
      </rPr>
      <t xml:space="preserve">= </t>
    </r>
    <r>
      <rPr>
        <sz val="9"/>
        <color rgb="FF000000"/>
        <rFont val="DejaVu Sans"/>
        <family val="2"/>
      </rPr>
      <t xml:space="preserve">股价 </t>
    </r>
    <r>
      <rPr>
        <sz val="9"/>
        <color rgb="FF000000"/>
        <rFont val="Arial"/>
        <family val="0"/>
        <charset val="1"/>
      </rPr>
      <t xml:space="preserve">× </t>
    </r>
    <r>
      <rPr>
        <sz val="9"/>
        <color rgb="FF000000"/>
        <rFont val="DejaVu Sans"/>
        <family val="2"/>
      </rPr>
      <t xml:space="preserve">稀释后总股本</t>
    </r>
  </si>
  <si>
    <t xml:space="preserve">Step 5</t>
  </si>
  <si>
    <r>
      <rPr>
        <sz val="9"/>
        <color rgb="FF000000"/>
        <rFont val="Arial"/>
        <family val="0"/>
        <charset val="1"/>
      </rPr>
      <t xml:space="preserve">H</t>
    </r>
    <r>
      <rPr>
        <sz val="9"/>
        <color rgb="FF000000"/>
        <rFont val="DejaVu Sans"/>
        <family val="2"/>
      </rPr>
      <t xml:space="preserve">列：填入净债务（</t>
    </r>
    <r>
      <rPr>
        <sz val="9"/>
        <color rgb="FF000000"/>
        <rFont val="Arial"/>
        <family val="0"/>
        <charset val="1"/>
      </rPr>
      <t xml:space="preserve">= </t>
    </r>
    <r>
      <rPr>
        <sz val="9"/>
        <color rgb="FF000000"/>
        <rFont val="DejaVu Sans"/>
        <family val="2"/>
      </rPr>
      <t xml:space="preserve">短期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长期有息借款 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现金及等价物）</t>
    </r>
  </si>
  <si>
    <t xml:space="preserve">Step 6</t>
  </si>
  <si>
    <r>
      <rPr>
        <sz val="9"/>
        <color rgb="FF000000"/>
        <rFont val="Arial"/>
        <family val="0"/>
        <charset val="1"/>
      </rPr>
      <t xml:space="preserve">L-M</t>
    </r>
    <r>
      <rPr>
        <sz val="9"/>
        <color rgb="FF000000"/>
        <rFont val="DejaVu Sans"/>
        <family val="2"/>
      </rPr>
      <t xml:space="preserve">列：填入</t>
    </r>
    <r>
      <rPr>
        <sz val="9"/>
        <color rgb="FF000000"/>
        <rFont val="Arial"/>
        <family val="0"/>
        <charset val="1"/>
      </rPr>
      <t xml:space="preserve">LTM/NTM</t>
    </r>
    <r>
      <rPr>
        <sz val="9"/>
        <color rgb="FF000000"/>
        <rFont val="DejaVu Sans"/>
        <family val="2"/>
      </rPr>
      <t xml:space="preserve">收入（港元百万）</t>
    </r>
  </si>
  <si>
    <t xml:space="preserve">Step 7</t>
  </si>
  <si>
    <r>
      <rPr>
        <sz val="9"/>
        <color rgb="FF000000"/>
        <rFont val="Arial"/>
        <family val="0"/>
        <charset val="1"/>
      </rPr>
      <t xml:space="preserve">Q-R</t>
    </r>
    <r>
      <rPr>
        <sz val="9"/>
        <color rgb="FF000000"/>
        <rFont val="DejaVu Sans"/>
        <family val="2"/>
      </rPr>
      <t xml:space="preserve">列：填入</t>
    </r>
    <r>
      <rPr>
        <sz val="9"/>
        <color rgb="FF000000"/>
        <rFont val="Arial"/>
        <family val="0"/>
        <charset val="1"/>
      </rPr>
      <t xml:space="preserve">LTM/NTM EBITDA</t>
    </r>
  </si>
  <si>
    <t xml:space="preserve">Step 8</t>
  </si>
  <si>
    <r>
      <rPr>
        <sz val="9"/>
        <color rgb="FF000000"/>
        <rFont val="Arial"/>
        <family val="0"/>
        <charset val="1"/>
      </rPr>
      <t xml:space="preserve">V-W</t>
    </r>
    <r>
      <rPr>
        <sz val="9"/>
        <color rgb="FF000000"/>
        <rFont val="DejaVu Sans"/>
        <family val="2"/>
      </rPr>
      <t xml:space="preserve">列：填入</t>
    </r>
    <r>
      <rPr>
        <sz val="9"/>
        <color rgb="FF000000"/>
        <rFont val="Arial"/>
        <family val="0"/>
        <charset val="1"/>
      </rPr>
      <t xml:space="preserve">LTM/NTM</t>
    </r>
    <r>
      <rPr>
        <sz val="9"/>
        <color rgb="FF000000"/>
        <rFont val="DejaVu Sans"/>
        <family val="2"/>
      </rPr>
      <t xml:space="preserve">归母净利润</t>
    </r>
  </si>
  <si>
    <t xml:space="preserve">Step 9</t>
  </si>
  <si>
    <r>
      <rPr>
        <sz val="9"/>
        <color rgb="FF000000"/>
        <rFont val="Arial"/>
        <family val="0"/>
        <charset val="1"/>
      </rPr>
      <t xml:space="preserve">X-Y</t>
    </r>
    <r>
      <rPr>
        <sz val="9"/>
        <color rgb="FF000000"/>
        <rFont val="DejaVu Sans"/>
        <family val="2"/>
      </rPr>
      <t xml:space="preserve">列：填入</t>
    </r>
    <r>
      <rPr>
        <sz val="9"/>
        <color rgb="FF000000"/>
        <rFont val="Arial"/>
        <family val="0"/>
        <charset val="1"/>
      </rPr>
      <t xml:space="preserve">LTM/NTM</t>
    </r>
    <r>
      <rPr>
        <sz val="9"/>
        <color rgb="FF000000"/>
        <rFont val="DejaVu Sans"/>
        <family val="2"/>
      </rPr>
      <t xml:space="preserve">每股收益（港元，稀释后）</t>
    </r>
  </si>
  <si>
    <t xml:space="preserve">Step 10</t>
  </si>
  <si>
    <r>
      <rPr>
        <sz val="9"/>
        <color rgb="FF000000"/>
        <rFont val="Arial"/>
        <family val="0"/>
        <charset val="1"/>
      </rPr>
      <t xml:space="preserve">AA</t>
    </r>
    <r>
      <rPr>
        <sz val="9"/>
        <color rgb="FF000000"/>
        <rFont val="DejaVu Sans"/>
        <family val="2"/>
      </rPr>
      <t xml:space="preserve">列起 — 所有倍数自动计算，无需手动填写</t>
    </r>
  </si>
  <si>
    <t xml:space="preserve">Step 11</t>
  </si>
  <si>
    <r>
      <rPr>
        <sz val="9"/>
        <color rgb="FF000000"/>
        <rFont val="DejaVu Sans"/>
        <family val="2"/>
      </rPr>
      <t xml:space="preserve">在</t>
    </r>
    <r>
      <rPr>
        <sz val="9"/>
        <color rgb="FF000000"/>
        <rFont val="Arial"/>
        <family val="0"/>
        <charset val="1"/>
      </rPr>
      <t xml:space="preserve">Row 10 (★</t>
    </r>
    <r>
      <rPr>
        <sz val="9"/>
        <color rgb="FF000000"/>
        <rFont val="DejaVu Sans"/>
        <family val="2"/>
      </rPr>
      <t xml:space="preserve">行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填入</t>
    </r>
    <r>
      <rPr>
        <sz val="9"/>
        <color rgb="FF000000"/>
        <rFont val="Arial"/>
        <family val="0"/>
        <charset val="1"/>
      </rPr>
      <t xml:space="preserve">IPO</t>
    </r>
    <r>
      <rPr>
        <sz val="9"/>
        <color rgb="FF000000"/>
        <rFont val="DejaVu Sans"/>
        <family val="2"/>
      </rPr>
      <t xml:space="preserve">目标公司全部数据</t>
    </r>
  </si>
  <si>
    <t xml:space="preserve">Step 12</t>
  </si>
  <si>
    <r>
      <rPr>
        <sz val="9"/>
        <color rgb="FF000000"/>
        <rFont val="DejaVu Sans"/>
        <family val="2"/>
      </rPr>
      <t xml:space="preserve">在</t>
    </r>
    <r>
      <rPr>
        <sz val="9"/>
        <color rgb="FF000000"/>
        <rFont val="Arial"/>
        <family val="0"/>
        <charset val="1"/>
      </rPr>
      <t xml:space="preserve">Row 17-19</t>
    </r>
    <r>
      <rPr>
        <sz val="9"/>
        <color rgb="FF000000"/>
        <rFont val="DejaVu Sans"/>
        <family val="2"/>
      </rPr>
      <t xml:space="preserve">填入</t>
    </r>
    <r>
      <rPr>
        <sz val="9"/>
        <color rgb="FF000000"/>
        <rFont val="Arial"/>
        <family val="0"/>
        <charset val="1"/>
      </rPr>
      <t xml:space="preserve">IPO</t>
    </r>
    <r>
      <rPr>
        <sz val="9"/>
        <color rgb="FF000000"/>
        <rFont val="DejaVu Sans"/>
        <family val="2"/>
      </rPr>
      <t xml:space="preserve">发行价低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中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高对应的市值和</t>
    </r>
    <r>
      <rPr>
        <sz val="9"/>
        <color rgb="FF000000"/>
        <rFont val="Arial"/>
        <family val="0"/>
        <charset val="1"/>
      </rPr>
      <t xml:space="preserve">EV</t>
    </r>
  </si>
  <si>
    <r>
      <rPr>
        <b val="true"/>
        <sz val="9"/>
        <color rgb="FF1F3864"/>
        <rFont val="Arial"/>
        <family val="0"/>
        <charset val="1"/>
      </rPr>
      <t xml:space="preserve">Wind</t>
    </r>
    <r>
      <rPr>
        <b val="true"/>
        <sz val="9"/>
        <color rgb="FF1F3864"/>
        <rFont val="DejaVu Sans"/>
        <family val="2"/>
      </rPr>
      <t xml:space="preserve">万得</t>
    </r>
  </si>
  <si>
    <r>
      <rPr>
        <sz val="9"/>
        <color rgb="FF000000"/>
        <rFont val="Arial"/>
        <family val="0"/>
        <charset val="1"/>
      </rPr>
      <t xml:space="preserve">WSD</t>
    </r>
    <r>
      <rPr>
        <sz val="9"/>
        <color rgb="FF000000"/>
        <rFont val="DejaVu Sans"/>
        <family val="2"/>
      </rPr>
      <t xml:space="preserve">函数</t>
    </r>
    <r>
      <rPr>
        <sz val="9"/>
        <color rgb="FF000000"/>
        <rFont val="Arial"/>
        <family val="0"/>
        <charset val="1"/>
      </rPr>
      <t xml:space="preserve">: =WSD("0700.HK","pe_ttm,ev2ebitda_ttm","ED-0TD")</t>
    </r>
  </si>
  <si>
    <t xml:space="preserve">Bloomberg</t>
  </si>
  <si>
    <r>
      <rPr>
        <sz val="9"/>
        <color rgb="FF000000"/>
        <rFont val="Arial"/>
        <family val="0"/>
        <charset val="1"/>
      </rPr>
      <t xml:space="preserve">RV</t>
    </r>
    <r>
      <rPr>
        <sz val="9"/>
        <color rgb="FF000000"/>
        <rFont val="DejaVu Sans"/>
        <family val="2"/>
      </rPr>
      <t xml:space="preserve">模块直接生成</t>
    </r>
    <r>
      <rPr>
        <sz val="9"/>
        <color rgb="FF000000"/>
        <rFont val="Arial"/>
        <family val="0"/>
        <charset val="1"/>
      </rPr>
      <t xml:space="preserve">Comps</t>
    </r>
    <r>
      <rPr>
        <sz val="9"/>
        <color rgb="FF000000"/>
        <rFont val="DejaVu Sans"/>
        <family val="2"/>
      </rPr>
      <t xml:space="preserve">；</t>
    </r>
    <r>
      <rPr>
        <sz val="9"/>
        <color rgb="FF000000"/>
        <rFont val="Arial"/>
        <family val="0"/>
        <charset val="1"/>
      </rPr>
      <t xml:space="preserve">FA</t>
    </r>
    <r>
      <rPr>
        <sz val="9"/>
        <color rgb="FF000000"/>
        <rFont val="DejaVu Sans"/>
        <family val="2"/>
      </rPr>
      <t xml:space="preserve">页查单公司财务数据</t>
    </r>
  </si>
  <si>
    <t xml:space="preserve">港交所披露易</t>
  </si>
  <si>
    <r>
      <rPr>
        <sz val="9"/>
        <color rgb="FF000000"/>
        <rFont val="Arial"/>
        <family val="0"/>
        <charset val="1"/>
      </rPr>
      <t xml:space="preserve">hkexnews.hk — </t>
    </r>
    <r>
      <rPr>
        <sz val="9"/>
        <color rgb="FF000000"/>
        <rFont val="DejaVu Sans"/>
        <family val="2"/>
      </rPr>
      <t xml:space="preserve">免费查年报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中报，计算</t>
    </r>
    <r>
      <rPr>
        <sz val="9"/>
        <color rgb="FF000000"/>
        <rFont val="Arial"/>
        <family val="0"/>
        <charset val="1"/>
      </rPr>
      <t xml:space="preserve">LTM</t>
    </r>
    <r>
      <rPr>
        <sz val="9"/>
        <color rgb="FF000000"/>
        <rFont val="DejaVu Sans"/>
        <family val="2"/>
      </rPr>
      <t xml:space="preserve">数据</t>
    </r>
  </si>
  <si>
    <r>
      <rPr>
        <b val="true"/>
        <sz val="9"/>
        <color rgb="FF1F3864"/>
        <rFont val="DejaVu Sans"/>
        <family val="2"/>
      </rPr>
      <t xml:space="preserve">理杏仁</t>
    </r>
    <r>
      <rPr>
        <b val="true"/>
        <sz val="9"/>
        <color rgb="FF1F3864"/>
        <rFont val="Arial"/>
        <family val="0"/>
        <charset val="1"/>
      </rPr>
      <t xml:space="preserve">/</t>
    </r>
    <r>
      <rPr>
        <b val="true"/>
        <sz val="9"/>
        <color rgb="FF1F3864"/>
        <rFont val="DejaVu Sans"/>
        <family val="2"/>
      </rPr>
      <t xml:space="preserve">雪球</t>
    </r>
  </si>
  <si>
    <t xml:space="preserve">快速查港股估值倍数和历史数据</t>
  </si>
  <si>
    <r>
      <rPr>
        <b val="true"/>
        <sz val="9"/>
        <color rgb="FF1F3864"/>
        <rFont val="Arial"/>
        <family val="0"/>
        <charset val="1"/>
      </rPr>
      <t xml:space="preserve">LTM</t>
    </r>
    <r>
      <rPr>
        <b val="true"/>
        <sz val="9"/>
        <color rgb="FF1F3864"/>
        <rFont val="DejaVu Sans"/>
        <family val="2"/>
      </rPr>
      <t xml:space="preserve">计算</t>
    </r>
  </si>
  <si>
    <r>
      <rPr>
        <sz val="9"/>
        <color rgb="FF000000"/>
        <rFont val="Arial"/>
        <family val="0"/>
        <charset val="1"/>
      </rPr>
      <t xml:space="preserve">LTM = </t>
    </r>
    <r>
      <rPr>
        <sz val="9"/>
        <color rgb="FF000000"/>
        <rFont val="DejaVu Sans"/>
        <family val="2"/>
      </rPr>
      <t xml:space="preserve">年报数据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DejaVu Sans"/>
        <family val="2"/>
      </rPr>
      <t xml:space="preserve">最新中报上半年 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上年同期上半年</t>
    </r>
  </si>
  <si>
    <r>
      <rPr>
        <b val="true"/>
        <sz val="9"/>
        <color rgb="FF1F3864"/>
        <rFont val="Arial"/>
        <family val="0"/>
        <charset val="1"/>
      </rPr>
      <t xml:space="preserve">NTM</t>
    </r>
    <r>
      <rPr>
        <b val="true"/>
        <sz val="9"/>
        <color rgb="FF1F3864"/>
        <rFont val="DejaVu Sans"/>
        <family val="2"/>
      </rPr>
      <t xml:space="preserve">数据</t>
    </r>
  </si>
  <si>
    <r>
      <rPr>
        <sz val="9"/>
        <color rgb="FF000000"/>
        <rFont val="DejaVu Sans"/>
        <family val="2"/>
      </rPr>
      <t xml:space="preserve">优先使用</t>
    </r>
    <r>
      <rPr>
        <sz val="9"/>
        <color rgb="FF000000"/>
        <rFont val="Arial"/>
        <family val="0"/>
        <charset val="1"/>
      </rPr>
      <t xml:space="preserve">Bloomberg/Wind</t>
    </r>
    <r>
      <rPr>
        <sz val="9"/>
        <color rgb="FF000000"/>
        <rFont val="DejaVu Sans"/>
        <family val="2"/>
      </rPr>
      <t xml:space="preserve">一致预期；无预测用管理层指引</t>
    </r>
  </si>
  <si>
    <t xml:space="preserve">货币换算</t>
  </si>
  <si>
    <r>
      <rPr>
        <sz val="9"/>
        <color rgb="FF000000"/>
        <rFont val="DejaVu Sans"/>
        <family val="2"/>
      </rPr>
      <t xml:space="preserve">港股财报可能用港元或人民币，填入前统一换算（</t>
    </r>
    <r>
      <rPr>
        <sz val="9"/>
        <color rgb="FF000000"/>
        <rFont val="Arial"/>
        <family val="0"/>
        <charset val="1"/>
      </rPr>
      <t xml:space="preserve">1 RMB ≈ 1.07 HKD</t>
    </r>
    <r>
      <rPr>
        <sz val="9"/>
        <color rgb="FF000000"/>
        <rFont val="DejaVu Sans"/>
        <family val="2"/>
      </rPr>
      <t xml:space="preserve">）</t>
    </r>
  </si>
  <si>
    <t xml:space="preserve">净债务调整</t>
  </si>
  <si>
    <t xml:space="preserve">部分公司有大量受限资金，需从现金中扣除后计算</t>
  </si>
  <si>
    <r>
      <rPr>
        <b val="true"/>
        <sz val="9"/>
        <color rgb="FF1F3864"/>
        <rFont val="Arial"/>
        <family val="0"/>
        <charset val="1"/>
      </rPr>
      <t xml:space="preserve">NM</t>
    </r>
    <r>
      <rPr>
        <b val="true"/>
        <sz val="9"/>
        <color rgb="FF1F3864"/>
        <rFont val="DejaVu Sans"/>
        <family val="2"/>
      </rPr>
      <t xml:space="preserve">处理</t>
    </r>
  </si>
  <si>
    <r>
      <rPr>
        <sz val="9"/>
        <color rgb="FF000000"/>
        <rFont val="DejaVu Sans"/>
        <family val="2"/>
      </rPr>
      <t xml:space="preserve">亏损公司</t>
    </r>
    <r>
      <rPr>
        <sz val="9"/>
        <color rgb="FF000000"/>
        <rFont val="Arial"/>
        <family val="0"/>
        <charset val="1"/>
      </rPr>
      <t xml:space="preserve">P/E</t>
    </r>
    <r>
      <rPr>
        <sz val="9"/>
        <color rgb="FF000000"/>
        <rFont val="DejaVu Sans"/>
        <family val="2"/>
      </rPr>
      <t xml:space="preserve">标</t>
    </r>
    <r>
      <rPr>
        <sz val="9"/>
        <color rgb="FF000000"/>
        <rFont val="Arial"/>
        <family val="0"/>
        <charset val="1"/>
      </rPr>
      <t xml:space="preserve">NM</t>
    </r>
    <r>
      <rPr>
        <sz val="9"/>
        <color rgb="FF000000"/>
        <rFont val="DejaVu Sans"/>
        <family val="2"/>
      </rPr>
      <t xml:space="preserve">，</t>
    </r>
    <r>
      <rPr>
        <sz val="9"/>
        <color rgb="FF000000"/>
        <rFont val="Arial"/>
        <family val="0"/>
        <charset val="1"/>
      </rPr>
      <t xml:space="preserve">IFERROR</t>
    </r>
    <r>
      <rPr>
        <sz val="9"/>
        <color rgb="FF000000"/>
        <rFont val="DejaVu Sans"/>
        <family val="2"/>
      </rPr>
      <t xml:space="preserve">已自动处理，不影响中位数计算</t>
    </r>
  </si>
  <si>
    <t xml:space="preserve">股本口径</t>
  </si>
  <si>
    <r>
      <rPr>
        <sz val="9"/>
        <color rgb="FF000000"/>
        <rFont val="DejaVu Sans"/>
        <family val="2"/>
      </rPr>
      <t xml:space="preserve">市值统一用</t>
    </r>
    <r>
      <rPr>
        <sz val="9"/>
        <color rgb="FF000000"/>
        <rFont val="Arial"/>
        <family val="0"/>
        <charset val="1"/>
      </rPr>
      <t xml:space="preserve">fully diluted</t>
    </r>
    <r>
      <rPr>
        <sz val="9"/>
        <color rgb="FF000000"/>
        <rFont val="DejaVu Sans"/>
        <family val="2"/>
      </rPr>
      <t xml:space="preserve">股本（含期权、可转债转股后）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</si>
</sst>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#,##0;\(#,##0\);\-"/>
    <numFmt numFmtId="167" formatCode="0.0%;\(0.0%\);\-"/>
    <numFmt numFmtId="168" formatCode="0.0\x;\(0.0&quot;x)&quot;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DejaVu Sans"/>
      <family val="2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8"/>
      <color rgb="FFFFFFFF"/>
      <name val="DejaVu Sans"/>
      <family val="2"/>
    </font>
    <font>
      <b val="true"/>
      <sz val="8"/>
      <color rgb="FFFFFFFF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b val="true"/>
      <sz val="7.5"/>
      <color rgb="FFFFFFFF"/>
      <name val="DejaVu Sans"/>
      <family val="2"/>
    </font>
    <font>
      <sz val="8"/>
      <color rgb="FF000000"/>
      <name val="Arial"/>
      <family val="0"/>
      <charset val="1"/>
    </font>
    <font>
      <sz val="8"/>
      <color rgb="FF0000FF"/>
      <name val="DejaVu Sans"/>
      <family val="2"/>
    </font>
    <font>
      <sz val="8"/>
      <color rgb="FF0000FF"/>
      <name val="Arial"/>
      <family val="0"/>
      <charset val="1"/>
    </font>
    <font>
      <b val="true"/>
      <sz val="8"/>
      <color rgb="FFFF0000"/>
      <name val="Arial"/>
      <family val="0"/>
      <charset val="1"/>
    </font>
    <font>
      <b val="true"/>
      <sz val="8"/>
      <color rgb="FF0000FF"/>
      <name val="DejaVu Sans"/>
      <family val="2"/>
    </font>
    <font>
      <b val="true"/>
      <sz val="8"/>
      <color rgb="FF0000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1F3864"/>
      <name val="DejaVu Sans"/>
      <family val="2"/>
    </font>
    <font>
      <b val="true"/>
      <sz val="8"/>
      <color rgb="FF1F3864"/>
      <name val="Arial"/>
      <family val="0"/>
      <charset val="1"/>
    </font>
    <font>
      <sz val="8"/>
      <color rgb="FF1F3864"/>
      <name val="DejaVu Sans"/>
      <family val="2"/>
    </font>
    <font>
      <sz val="8"/>
      <color rgb="FF1F3864"/>
      <name val="Arial"/>
      <family val="0"/>
      <charset val="1"/>
    </font>
    <font>
      <sz val="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8"/>
      <name val="DejaVu Sans"/>
      <family val="2"/>
    </font>
    <font>
      <b val="true"/>
      <sz val="9"/>
      <name val="DejaVu Sans"/>
      <family val="2"/>
    </font>
    <font>
      <sz val="8"/>
      <name val="DejaVu Sans"/>
      <family val="2"/>
    </font>
    <font>
      <b val="true"/>
      <sz val="9"/>
      <color rgb="FF1F3864"/>
      <name val="DejaVu Sans"/>
      <family val="2"/>
    </font>
    <font>
      <sz val="9"/>
      <color rgb="FF000000"/>
      <name val="DejaVu Sans"/>
      <family val="2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92D050"/>
        <bgColor rgb="FFB0B0B0"/>
      </patternFill>
    </fill>
    <fill>
      <patternFill patternType="solid">
        <fgColor rgb="FFFFC000"/>
        <bgColor rgb="FFFF9900"/>
      </patternFill>
    </fill>
    <fill>
      <patternFill patternType="solid">
        <fgColor rgb="FFFFCCCC"/>
        <bgColor rgb="FFD9E1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9" min="7" style="0" width="9"/>
    <col collapsed="false" customWidth="true" hidden="false" outlineLevel="0" max="11" min="10" style="0" width="8"/>
    <col collapsed="false" customWidth="true" hidden="false" outlineLevel="0" max="13" min="12" style="0" width="10"/>
    <col collapsed="false" customWidth="true" hidden="false" outlineLevel="0" max="16" min="14" style="0" width="7"/>
    <col collapsed="false" customWidth="true" hidden="false" outlineLevel="0" max="18" min="17" style="0" width="10"/>
    <col collapsed="false" customWidth="true" hidden="false" outlineLevel="0" max="21" min="19" style="0" width="7"/>
    <col collapsed="false" customWidth="true" hidden="false" outlineLevel="0" max="23" min="22" style="0" width="10"/>
    <col collapsed="false" customWidth="true" hidden="false" outlineLevel="0" max="25" min="24" style="0" width="8"/>
    <col collapsed="false" customWidth="true" hidden="false" outlineLevel="0" max="26" min="26" style="0" width="7"/>
    <col collapsed="false" customWidth="true" hidden="false" outlineLevel="0" max="33" min="27" style="0" width="8"/>
    <col collapsed="false" customWidth="true" hidden="false" outlineLevel="0" max="36" min="34" style="0" width="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2" t="s">
        <v>3</v>
      </c>
      <c r="I2" s="2"/>
      <c r="J2" s="2"/>
      <c r="K2" s="2"/>
    </row>
    <row r="3" customFormat="false" ht="19.5" hidden="false" customHeight="true" outlineLevel="0" collapsed="false">
      <c r="A3" s="4"/>
      <c r="B3" s="5" t="s">
        <v>4</v>
      </c>
      <c r="C3" s="5"/>
      <c r="D3" s="5"/>
      <c r="E3" s="5"/>
      <c r="F3" s="5" t="s">
        <v>5</v>
      </c>
      <c r="G3" s="5"/>
      <c r="H3" s="5"/>
      <c r="I3" s="5"/>
      <c r="J3" s="5"/>
      <c r="K3" s="5"/>
      <c r="L3" s="5" t="s">
        <v>6</v>
      </c>
      <c r="M3" s="5"/>
      <c r="N3" s="5"/>
      <c r="O3" s="5"/>
      <c r="P3" s="5"/>
      <c r="Q3" s="6" t="s">
        <v>7</v>
      </c>
      <c r="R3" s="6"/>
      <c r="S3" s="6"/>
      <c r="T3" s="6"/>
      <c r="U3" s="6"/>
      <c r="V3" s="5" t="s">
        <v>8</v>
      </c>
      <c r="W3" s="5"/>
      <c r="X3" s="5"/>
      <c r="Y3" s="5"/>
      <c r="Z3" s="5"/>
      <c r="AA3" s="6" t="s">
        <v>9</v>
      </c>
      <c r="AB3" s="6"/>
      <c r="AC3" s="6"/>
      <c r="AD3" s="6"/>
      <c r="AE3" s="6"/>
      <c r="AF3" s="5" t="s">
        <v>10</v>
      </c>
      <c r="AG3" s="5"/>
      <c r="AH3" s="5"/>
      <c r="AI3" s="5"/>
      <c r="AJ3" s="5"/>
    </row>
    <row r="4" customFormat="false" ht="42" hidden="false" customHeight="true" outlineLevel="0" collapsed="false">
      <c r="A4" s="7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7" t="s">
        <v>19</v>
      </c>
      <c r="J4" s="7" t="s">
        <v>20</v>
      </c>
      <c r="K4" s="7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28</v>
      </c>
      <c r="S4" s="7" t="s">
        <v>29</v>
      </c>
      <c r="T4" s="7" t="s">
        <v>30</v>
      </c>
      <c r="U4" s="7" t="s">
        <v>31</v>
      </c>
      <c r="V4" s="7" t="s">
        <v>32</v>
      </c>
      <c r="W4" s="7" t="s">
        <v>33</v>
      </c>
      <c r="X4" s="7" t="s">
        <v>34</v>
      </c>
      <c r="Y4" s="7" t="s">
        <v>35</v>
      </c>
      <c r="Z4" s="7" t="s">
        <v>36</v>
      </c>
      <c r="AA4" s="7" t="s">
        <v>37</v>
      </c>
      <c r="AB4" s="7" t="s">
        <v>38</v>
      </c>
      <c r="AC4" s="7" t="s">
        <v>39</v>
      </c>
      <c r="AD4" s="7" t="s">
        <v>40</v>
      </c>
      <c r="AE4" s="7" t="s">
        <v>41</v>
      </c>
      <c r="AF4" s="7" t="s">
        <v>42</v>
      </c>
      <c r="AG4" s="7" t="s">
        <v>43</v>
      </c>
      <c r="AH4" s="7" t="s">
        <v>44</v>
      </c>
      <c r="AI4" s="7" t="s">
        <v>45</v>
      </c>
      <c r="AJ4" s="7" t="s">
        <v>46</v>
      </c>
    </row>
    <row r="5" customFormat="false" ht="16.5" hidden="false" customHeight="true" outlineLevel="0" collapsed="false">
      <c r="A5" s="9" t="n">
        <v>1</v>
      </c>
      <c r="B5" s="10" t="s">
        <v>47</v>
      </c>
      <c r="C5" s="11" t="s">
        <v>48</v>
      </c>
      <c r="D5" s="11" t="s">
        <v>49</v>
      </c>
      <c r="E5" s="10" t="s">
        <v>50</v>
      </c>
      <c r="F5" s="12"/>
      <c r="G5" s="13"/>
      <c r="H5" s="13"/>
      <c r="I5" s="14" t="n">
        <f aca="false">G5+H5</f>
        <v>0</v>
      </c>
      <c r="J5" s="13"/>
      <c r="K5" s="13"/>
      <c r="L5" s="13"/>
      <c r="M5" s="13"/>
      <c r="N5" s="15" t="str">
        <f aca="false">IFERROR((M5-L5)/ABS(L5),"NM")</f>
        <v>NM</v>
      </c>
      <c r="O5" s="16"/>
      <c r="P5" s="15" t="str">
        <f aca="false">IFERROR(W5/M5,"NM")</f>
        <v>NM</v>
      </c>
      <c r="Q5" s="13"/>
      <c r="R5" s="13"/>
      <c r="S5" s="15" t="str">
        <f aca="false">IFERROR(Q5/L5,"NM")</f>
        <v>NM</v>
      </c>
      <c r="T5" s="15" t="str">
        <f aca="false">IFERROR(R5/M5,"NM")</f>
        <v>NM</v>
      </c>
      <c r="U5" s="15" t="str">
        <f aca="false">IFERROR((R5-Q5)/ABS(Q5),"NM")</f>
        <v>NM</v>
      </c>
      <c r="V5" s="13"/>
      <c r="W5" s="13"/>
      <c r="X5" s="12"/>
      <c r="Y5" s="12"/>
      <c r="Z5" s="15" t="str">
        <f aca="false">IFERROR((Y5-X5)/ABS(X5),"NM")</f>
        <v>NM</v>
      </c>
      <c r="AA5" s="17" t="str">
        <f aca="false">IFERROR(I5/L5,"NM")</f>
        <v>NM</v>
      </c>
      <c r="AB5" s="17" t="str">
        <f aca="false">IFERROR(I5/M5,"NM")</f>
        <v>NM</v>
      </c>
      <c r="AC5" s="17" t="str">
        <f aca="false">IFERROR(I5/Q5,"NM")</f>
        <v>NM</v>
      </c>
      <c r="AD5" s="17" t="str">
        <f aca="false">IFERROR(I5/R5,"NM")</f>
        <v>NM</v>
      </c>
      <c r="AE5" s="17" t="str">
        <f aca="false">IFERROR(AB5/N5,"NM")</f>
        <v>NM</v>
      </c>
      <c r="AF5" s="17" t="str">
        <f aca="false">IFERROR(G5/V5,"NM")</f>
        <v>NM</v>
      </c>
      <c r="AG5" s="17" t="str">
        <f aca="false">IFERROR(G5/W5,"NM")</f>
        <v>NM</v>
      </c>
      <c r="AH5" s="17" t="str">
        <f aca="false">IFERROR(AG5/Z5,"NM")</f>
        <v>NM</v>
      </c>
      <c r="AI5" s="18"/>
      <c r="AJ5" s="16"/>
    </row>
    <row r="6" customFormat="false" ht="16.5" hidden="false" customHeight="true" outlineLevel="0" collapsed="false">
      <c r="A6" s="19" t="n">
        <v>2</v>
      </c>
      <c r="B6" s="20" t="s">
        <v>51</v>
      </c>
      <c r="C6" s="21" t="s">
        <v>52</v>
      </c>
      <c r="D6" s="21" t="s">
        <v>49</v>
      </c>
      <c r="E6" s="20" t="s">
        <v>53</v>
      </c>
      <c r="F6" s="22"/>
      <c r="G6" s="23"/>
      <c r="H6" s="23"/>
      <c r="I6" s="24" t="n">
        <f aca="false">G6+H6</f>
        <v>0</v>
      </c>
      <c r="J6" s="23"/>
      <c r="K6" s="23"/>
      <c r="L6" s="23"/>
      <c r="M6" s="23"/>
      <c r="N6" s="25" t="str">
        <f aca="false">IFERROR((M6-L6)/ABS(L6),"NM")</f>
        <v>NM</v>
      </c>
      <c r="O6" s="26"/>
      <c r="P6" s="25" t="str">
        <f aca="false">IFERROR(W6/M6,"NM")</f>
        <v>NM</v>
      </c>
      <c r="Q6" s="23"/>
      <c r="R6" s="23"/>
      <c r="S6" s="25" t="str">
        <f aca="false">IFERROR(Q6/L6,"NM")</f>
        <v>NM</v>
      </c>
      <c r="T6" s="25" t="str">
        <f aca="false">IFERROR(R6/M6,"NM")</f>
        <v>NM</v>
      </c>
      <c r="U6" s="25" t="str">
        <f aca="false">IFERROR((R6-Q6)/ABS(Q6),"NM")</f>
        <v>NM</v>
      </c>
      <c r="V6" s="23"/>
      <c r="W6" s="23"/>
      <c r="X6" s="22"/>
      <c r="Y6" s="22"/>
      <c r="Z6" s="25" t="str">
        <f aca="false">IFERROR((Y6-X6)/ABS(X6),"NM")</f>
        <v>NM</v>
      </c>
      <c r="AA6" s="27" t="str">
        <f aca="false">IFERROR(I6/L6,"NM")</f>
        <v>NM</v>
      </c>
      <c r="AB6" s="27" t="str">
        <f aca="false">IFERROR(I6/M6,"NM")</f>
        <v>NM</v>
      </c>
      <c r="AC6" s="27" t="str">
        <f aca="false">IFERROR(I6/Q6,"NM")</f>
        <v>NM</v>
      </c>
      <c r="AD6" s="27" t="str">
        <f aca="false">IFERROR(I6/R6,"NM")</f>
        <v>NM</v>
      </c>
      <c r="AE6" s="27" t="str">
        <f aca="false">IFERROR(AB6/N6,"NM")</f>
        <v>NM</v>
      </c>
      <c r="AF6" s="27" t="str">
        <f aca="false">IFERROR(G6/V6,"NM")</f>
        <v>NM</v>
      </c>
      <c r="AG6" s="27" t="str">
        <f aca="false">IFERROR(G6/W6,"NM")</f>
        <v>NM</v>
      </c>
      <c r="AH6" s="27" t="str">
        <f aca="false">IFERROR(AG6/Z6,"NM")</f>
        <v>NM</v>
      </c>
      <c r="AI6" s="28"/>
      <c r="AJ6" s="26"/>
    </row>
    <row r="7" customFormat="false" ht="16.5" hidden="false" customHeight="true" outlineLevel="0" collapsed="false">
      <c r="A7" s="9" t="n">
        <v>3</v>
      </c>
      <c r="B7" s="10" t="s">
        <v>54</v>
      </c>
      <c r="C7" s="11" t="s">
        <v>55</v>
      </c>
      <c r="D7" s="11" t="s">
        <v>49</v>
      </c>
      <c r="E7" s="10" t="s">
        <v>56</v>
      </c>
      <c r="F7" s="12"/>
      <c r="G7" s="13"/>
      <c r="H7" s="13"/>
      <c r="I7" s="14" t="n">
        <f aca="false">G7+H7</f>
        <v>0</v>
      </c>
      <c r="J7" s="13"/>
      <c r="K7" s="13"/>
      <c r="L7" s="13"/>
      <c r="M7" s="13"/>
      <c r="N7" s="15" t="str">
        <f aca="false">IFERROR((M7-L7)/ABS(L7),"NM")</f>
        <v>NM</v>
      </c>
      <c r="O7" s="16"/>
      <c r="P7" s="15" t="str">
        <f aca="false">IFERROR(W7/M7,"NM")</f>
        <v>NM</v>
      </c>
      <c r="Q7" s="13"/>
      <c r="R7" s="13"/>
      <c r="S7" s="15" t="str">
        <f aca="false">IFERROR(Q7/L7,"NM")</f>
        <v>NM</v>
      </c>
      <c r="T7" s="15" t="str">
        <f aca="false">IFERROR(R7/M7,"NM")</f>
        <v>NM</v>
      </c>
      <c r="U7" s="15" t="str">
        <f aca="false">IFERROR((R7-Q7)/ABS(Q7),"NM")</f>
        <v>NM</v>
      </c>
      <c r="V7" s="13"/>
      <c r="W7" s="13"/>
      <c r="X7" s="12"/>
      <c r="Y7" s="12"/>
      <c r="Z7" s="15" t="str">
        <f aca="false">IFERROR((Y7-X7)/ABS(X7),"NM")</f>
        <v>NM</v>
      </c>
      <c r="AA7" s="17" t="str">
        <f aca="false">IFERROR(I7/L7,"NM")</f>
        <v>NM</v>
      </c>
      <c r="AB7" s="17" t="str">
        <f aca="false">IFERROR(I7/M7,"NM")</f>
        <v>NM</v>
      </c>
      <c r="AC7" s="17" t="str">
        <f aca="false">IFERROR(I7/Q7,"NM")</f>
        <v>NM</v>
      </c>
      <c r="AD7" s="17" t="str">
        <f aca="false">IFERROR(I7/R7,"NM")</f>
        <v>NM</v>
      </c>
      <c r="AE7" s="17" t="str">
        <f aca="false">IFERROR(AB7/N7,"NM")</f>
        <v>NM</v>
      </c>
      <c r="AF7" s="17" t="str">
        <f aca="false">IFERROR(G7/V7,"NM")</f>
        <v>NM</v>
      </c>
      <c r="AG7" s="17" t="str">
        <f aca="false">IFERROR(G7/W7,"NM")</f>
        <v>NM</v>
      </c>
      <c r="AH7" s="17" t="str">
        <f aca="false">IFERROR(AG7/Z7,"NM")</f>
        <v>NM</v>
      </c>
      <c r="AI7" s="18"/>
      <c r="AJ7" s="16"/>
    </row>
    <row r="8" customFormat="false" ht="16.5" hidden="false" customHeight="true" outlineLevel="0" collapsed="false">
      <c r="A8" s="19" t="n">
        <v>4</v>
      </c>
      <c r="B8" s="20" t="s">
        <v>57</v>
      </c>
      <c r="C8" s="21" t="s">
        <v>58</v>
      </c>
      <c r="D8" s="21" t="s">
        <v>49</v>
      </c>
      <c r="E8" s="20" t="s">
        <v>59</v>
      </c>
      <c r="F8" s="22"/>
      <c r="G8" s="23"/>
      <c r="H8" s="23"/>
      <c r="I8" s="24" t="n">
        <f aca="false">G8+H8</f>
        <v>0</v>
      </c>
      <c r="J8" s="23"/>
      <c r="K8" s="23"/>
      <c r="L8" s="23"/>
      <c r="M8" s="23"/>
      <c r="N8" s="25" t="str">
        <f aca="false">IFERROR((M8-L8)/ABS(L8),"NM")</f>
        <v>NM</v>
      </c>
      <c r="O8" s="26"/>
      <c r="P8" s="25" t="str">
        <f aca="false">IFERROR(W8/M8,"NM")</f>
        <v>NM</v>
      </c>
      <c r="Q8" s="23"/>
      <c r="R8" s="23"/>
      <c r="S8" s="25" t="str">
        <f aca="false">IFERROR(Q8/L8,"NM")</f>
        <v>NM</v>
      </c>
      <c r="T8" s="25" t="str">
        <f aca="false">IFERROR(R8/M8,"NM")</f>
        <v>NM</v>
      </c>
      <c r="U8" s="25" t="str">
        <f aca="false">IFERROR((R8-Q8)/ABS(Q8),"NM")</f>
        <v>NM</v>
      </c>
      <c r="V8" s="23"/>
      <c r="W8" s="23"/>
      <c r="X8" s="22"/>
      <c r="Y8" s="22"/>
      <c r="Z8" s="25" t="str">
        <f aca="false">IFERROR((Y8-X8)/ABS(X8),"NM")</f>
        <v>NM</v>
      </c>
      <c r="AA8" s="27" t="str">
        <f aca="false">IFERROR(I8/L8,"NM")</f>
        <v>NM</v>
      </c>
      <c r="AB8" s="27" t="str">
        <f aca="false">IFERROR(I8/M8,"NM")</f>
        <v>NM</v>
      </c>
      <c r="AC8" s="27" t="str">
        <f aca="false">IFERROR(I8/Q8,"NM")</f>
        <v>NM</v>
      </c>
      <c r="AD8" s="27" t="str">
        <f aca="false">IFERROR(I8/R8,"NM")</f>
        <v>NM</v>
      </c>
      <c r="AE8" s="27" t="str">
        <f aca="false">IFERROR(AB8/N8,"NM")</f>
        <v>NM</v>
      </c>
      <c r="AF8" s="27" t="str">
        <f aca="false">IFERROR(G8/V8,"NM")</f>
        <v>NM</v>
      </c>
      <c r="AG8" s="27" t="str">
        <f aca="false">IFERROR(G8/W8,"NM")</f>
        <v>NM</v>
      </c>
      <c r="AH8" s="27" t="str">
        <f aca="false">IFERROR(AG8/Z8,"NM")</f>
        <v>NM</v>
      </c>
      <c r="AI8" s="28"/>
      <c r="AJ8" s="26"/>
    </row>
    <row r="9" customFormat="false" ht="16.5" hidden="false" customHeight="true" outlineLevel="0" collapsed="false">
      <c r="A9" s="9" t="n">
        <v>5</v>
      </c>
      <c r="B9" s="10" t="s">
        <v>60</v>
      </c>
      <c r="C9" s="11" t="s">
        <v>61</v>
      </c>
      <c r="D9" s="11" t="s">
        <v>49</v>
      </c>
      <c r="E9" s="10" t="s">
        <v>62</v>
      </c>
      <c r="F9" s="12"/>
      <c r="G9" s="13"/>
      <c r="H9" s="13"/>
      <c r="I9" s="14" t="n">
        <f aca="false">G9+H9</f>
        <v>0</v>
      </c>
      <c r="J9" s="13"/>
      <c r="K9" s="13"/>
      <c r="L9" s="13"/>
      <c r="M9" s="13"/>
      <c r="N9" s="15" t="str">
        <f aca="false">IFERROR((M9-L9)/ABS(L9),"NM")</f>
        <v>NM</v>
      </c>
      <c r="O9" s="16"/>
      <c r="P9" s="15" t="str">
        <f aca="false">IFERROR(W9/M9,"NM")</f>
        <v>NM</v>
      </c>
      <c r="Q9" s="13"/>
      <c r="R9" s="13"/>
      <c r="S9" s="15" t="str">
        <f aca="false">IFERROR(Q9/L9,"NM")</f>
        <v>NM</v>
      </c>
      <c r="T9" s="15" t="str">
        <f aca="false">IFERROR(R9/M9,"NM")</f>
        <v>NM</v>
      </c>
      <c r="U9" s="15" t="str">
        <f aca="false">IFERROR((R9-Q9)/ABS(Q9),"NM")</f>
        <v>NM</v>
      </c>
      <c r="V9" s="13"/>
      <c r="W9" s="13"/>
      <c r="X9" s="12"/>
      <c r="Y9" s="12"/>
      <c r="Z9" s="15" t="str">
        <f aca="false">IFERROR((Y9-X9)/ABS(X9),"NM")</f>
        <v>NM</v>
      </c>
      <c r="AA9" s="17" t="str">
        <f aca="false">IFERROR(I9/L9,"NM")</f>
        <v>NM</v>
      </c>
      <c r="AB9" s="17" t="str">
        <f aca="false">IFERROR(I9/M9,"NM")</f>
        <v>NM</v>
      </c>
      <c r="AC9" s="17" t="str">
        <f aca="false">IFERROR(I9/Q9,"NM")</f>
        <v>NM</v>
      </c>
      <c r="AD9" s="17" t="str">
        <f aca="false">IFERROR(I9/R9,"NM")</f>
        <v>NM</v>
      </c>
      <c r="AE9" s="17" t="str">
        <f aca="false">IFERROR(AB9/N9,"NM")</f>
        <v>NM</v>
      </c>
      <c r="AF9" s="17" t="str">
        <f aca="false">IFERROR(G9/V9,"NM")</f>
        <v>NM</v>
      </c>
      <c r="AG9" s="17" t="str">
        <f aca="false">IFERROR(G9/W9,"NM")</f>
        <v>NM</v>
      </c>
      <c r="AH9" s="17" t="str">
        <f aca="false">IFERROR(AG9/Z9,"NM")</f>
        <v>NM</v>
      </c>
      <c r="AI9" s="18"/>
      <c r="AJ9" s="16"/>
    </row>
    <row r="10" customFormat="false" ht="19.5" hidden="false" customHeight="true" outlineLevel="0" collapsed="false">
      <c r="A10" s="29" t="s">
        <v>63</v>
      </c>
      <c r="B10" s="30" t="s">
        <v>64</v>
      </c>
      <c r="C10" s="31" t="s">
        <v>65</v>
      </c>
      <c r="D10" s="31" t="s">
        <v>49</v>
      </c>
      <c r="E10" s="30" t="s">
        <v>66</v>
      </c>
      <c r="F10" s="32"/>
      <c r="G10" s="33"/>
      <c r="H10" s="33"/>
      <c r="I10" s="34" t="n">
        <f aca="false">G10+H10</f>
        <v>0</v>
      </c>
      <c r="J10" s="33"/>
      <c r="K10" s="33"/>
      <c r="L10" s="33"/>
      <c r="M10" s="33"/>
      <c r="N10" s="35" t="str">
        <f aca="false">IFERROR((M10-L10)/ABS(L10),"NM")</f>
        <v>NM</v>
      </c>
      <c r="O10" s="36"/>
      <c r="P10" s="35" t="str">
        <f aca="false">IFERROR(W10/M10,"NM")</f>
        <v>NM</v>
      </c>
      <c r="Q10" s="33"/>
      <c r="R10" s="33"/>
      <c r="S10" s="35" t="str">
        <f aca="false">IFERROR(Q10/L10,"NM")</f>
        <v>NM</v>
      </c>
      <c r="T10" s="35" t="str">
        <f aca="false">IFERROR(R10/M10,"NM")</f>
        <v>NM</v>
      </c>
      <c r="U10" s="35" t="str">
        <f aca="false">IFERROR((R10-Q10)/ABS(Q10),"NM")</f>
        <v>NM</v>
      </c>
      <c r="V10" s="33"/>
      <c r="W10" s="33"/>
      <c r="X10" s="32"/>
      <c r="Y10" s="32"/>
      <c r="Z10" s="35" t="str">
        <f aca="false">IFERROR((Y10-X10)/ABS(X10),"NM")</f>
        <v>NM</v>
      </c>
      <c r="AA10" s="37" t="str">
        <f aca="false">IFERROR(I10/L10,"NM")</f>
        <v>NM</v>
      </c>
      <c r="AB10" s="37" t="str">
        <f aca="false">IFERROR(I10/M10,"NM")</f>
        <v>NM</v>
      </c>
      <c r="AC10" s="37" t="str">
        <f aca="false">IFERROR(I10/Q10,"NM")</f>
        <v>NM</v>
      </c>
      <c r="AD10" s="37" t="str">
        <f aca="false">IFERROR(I10/R10,"NM")</f>
        <v>NM</v>
      </c>
      <c r="AE10" s="37" t="str">
        <f aca="false">IFERROR(AB10/N10,"NM")</f>
        <v>NM</v>
      </c>
      <c r="AF10" s="37" t="str">
        <f aca="false">IFERROR(G10/V10,"NM")</f>
        <v>NM</v>
      </c>
      <c r="AG10" s="37" t="str">
        <f aca="false">IFERROR(G10/W10,"NM")</f>
        <v>NM</v>
      </c>
      <c r="AH10" s="37" t="str">
        <f aca="false">IFERROR(AG10/Z10,"NM")</f>
        <v>NM</v>
      </c>
      <c r="AI10" s="38"/>
      <c r="AJ10" s="36"/>
    </row>
    <row r="11" customFormat="false" ht="15.75" hidden="false" customHeight="true" outlineLevel="0" collapsed="false">
      <c r="A11" s="39" t="s">
        <v>67</v>
      </c>
      <c r="B11" s="39"/>
      <c r="C11" s="39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1" t="n">
        <f aca="false">IFERROR(MEDIAN(IF(ISNUMBER(AA5:AA9),AA5:AA9)),"NM")</f>
        <v>0</v>
      </c>
      <c r="AB11" s="41" t="n">
        <f aca="false">IFERROR(MEDIAN(IF(ISNUMBER(AB5:AB9),AB5:AB9)),"NM")</f>
        <v>0</v>
      </c>
      <c r="AC11" s="41" t="n">
        <f aca="false">IFERROR(MEDIAN(IF(ISNUMBER(AC5:AC9),AC5:AC9)),"NM")</f>
        <v>0</v>
      </c>
      <c r="AD11" s="41" t="n">
        <f aca="false">IFERROR(MEDIAN(IF(ISNUMBER(AD5:AD9),AD5:AD9)),"NM")</f>
        <v>0</v>
      </c>
      <c r="AE11" s="41" t="n">
        <f aca="false">IFERROR(MEDIAN(IF(ISNUMBER(AE5:AE9),AE5:AE9)),"NM")</f>
        <v>0</v>
      </c>
      <c r="AF11" s="41" t="n">
        <f aca="false">IFERROR(MEDIAN(IF(ISNUMBER(AF5:AF9),AF5:AF9)),"NM")</f>
        <v>0</v>
      </c>
      <c r="AG11" s="41" t="n">
        <f aca="false">IFERROR(MEDIAN(IF(ISNUMBER(AG5:AG9),AG5:AG9)),"NM")</f>
        <v>0</v>
      </c>
      <c r="AH11" s="41" t="n">
        <f aca="false">IFERROR(MEDIAN(IF(ISNUMBER(AH5:AH9),AH5:AH9)),"NM")</f>
        <v>0</v>
      </c>
      <c r="AI11" s="41" t="n">
        <f aca="false">IFERROR(MEDIAN(IF(ISNUMBER(AI5:AI9),AI5:AI9)),"NM")</f>
        <v>0</v>
      </c>
      <c r="AJ11" s="42" t="n">
        <f aca="false">IFERROR(MEDIAN(IF(ISNUMBER(AJ5:AJ9),AJ5:AJ9)),"NM")</f>
        <v>0</v>
      </c>
    </row>
    <row r="12" customFormat="false" ht="15.75" hidden="false" customHeight="true" outlineLevel="0" collapsed="false">
      <c r="A12" s="43" t="s">
        <v>68</v>
      </c>
      <c r="B12" s="43"/>
      <c r="C12" s="43"/>
      <c r="D12" s="43"/>
      <c r="E12" s="43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4" t="str">
        <f aca="false">IFERROR(AVERAGEIF(AA5:AA9,"&lt;&gt;NM"),"NM")</f>
        <v>NM</v>
      </c>
      <c r="AB12" s="44" t="str">
        <f aca="false">IFERROR(AVERAGEIF(AB5:AB9,"&lt;&gt;NM"),"NM")</f>
        <v>NM</v>
      </c>
      <c r="AC12" s="44" t="str">
        <f aca="false">IFERROR(AVERAGEIF(AC5:AC9,"&lt;&gt;NM"),"NM")</f>
        <v>NM</v>
      </c>
      <c r="AD12" s="44" t="str">
        <f aca="false">IFERROR(AVERAGEIF(AD5:AD9,"&lt;&gt;NM"),"NM")</f>
        <v>NM</v>
      </c>
      <c r="AE12" s="44" t="str">
        <f aca="false">IFERROR(AVERAGEIF(AE5:AE9,"&lt;&gt;NM"),"NM")</f>
        <v>NM</v>
      </c>
      <c r="AF12" s="44" t="str">
        <f aca="false">IFERROR(AVERAGEIF(AF5:AF9,"&lt;&gt;NM"),"NM")</f>
        <v>NM</v>
      </c>
      <c r="AG12" s="44" t="str">
        <f aca="false">IFERROR(AVERAGEIF(AG5:AG9,"&lt;&gt;NM"),"NM")</f>
        <v>NM</v>
      </c>
      <c r="AH12" s="44" t="str">
        <f aca="false">IFERROR(AVERAGEIF(AH5:AH9,"&lt;&gt;NM"),"NM")</f>
        <v>NM</v>
      </c>
      <c r="AI12" s="44" t="str">
        <f aca="false">IFERROR(AVERAGEIF(AI5:AI9,"&lt;&gt;NM"),"NM")</f>
        <v>NM</v>
      </c>
      <c r="AJ12" s="45" t="str">
        <f aca="false">IFERROR(AVERAGEIF(AJ5:AJ9,"&lt;&gt;NM"),"NM")</f>
        <v>NM</v>
      </c>
    </row>
    <row r="13" customFormat="false" ht="15.75" hidden="false" customHeight="true" outlineLevel="0" collapsed="false">
      <c r="A13" s="46" t="s">
        <v>69</v>
      </c>
      <c r="B13" s="46"/>
      <c r="C13" s="46"/>
      <c r="D13" s="46"/>
      <c r="E13" s="46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4" t="n">
        <f aca="false">IFERROR(PERCENTILE(IF(ISNUMBER(AA5:AA9),AA5:AA9),0.25),"NM")</f>
        <v>0</v>
      </c>
      <c r="AB13" s="44" t="n">
        <f aca="false">IFERROR(PERCENTILE(IF(ISNUMBER(AB5:AB9),AB5:AB9),0.25),"NM")</f>
        <v>0</v>
      </c>
      <c r="AC13" s="44" t="n">
        <f aca="false">IFERROR(PERCENTILE(IF(ISNUMBER(AC5:AC9),AC5:AC9),0.25),"NM")</f>
        <v>0</v>
      </c>
      <c r="AD13" s="44" t="n">
        <f aca="false">IFERROR(PERCENTILE(IF(ISNUMBER(AD5:AD9),AD5:AD9),0.25),"NM")</f>
        <v>0</v>
      </c>
      <c r="AE13" s="44" t="n">
        <f aca="false">IFERROR(PERCENTILE(IF(ISNUMBER(AE5:AE9),AE5:AE9),0.25),"NM")</f>
        <v>0</v>
      </c>
      <c r="AF13" s="44" t="n">
        <f aca="false">IFERROR(PERCENTILE(IF(ISNUMBER(AF5:AF9),AF5:AF9),0.25),"NM")</f>
        <v>0</v>
      </c>
      <c r="AG13" s="44" t="n">
        <f aca="false">IFERROR(PERCENTILE(IF(ISNUMBER(AG5:AG9),AG5:AG9),0.25),"NM")</f>
        <v>0</v>
      </c>
      <c r="AH13" s="44" t="n">
        <f aca="false">IFERROR(PERCENTILE(IF(ISNUMBER(AH5:AH9),AH5:AH9),0.25),"NM")</f>
        <v>0</v>
      </c>
      <c r="AI13" s="44" t="n">
        <f aca="false">IFERROR(PERCENTILE(IF(ISNUMBER(AI5:AI9),AI5:AI9),0.25),"NM")</f>
        <v>0</v>
      </c>
      <c r="AJ13" s="45" t="n">
        <f aca="false">IFERROR(PERCENTILE(IF(ISNUMBER(AJ5:AJ9),AJ5:AJ9),0.25),"NM")</f>
        <v>0</v>
      </c>
    </row>
    <row r="14" customFormat="false" ht="15.75" hidden="false" customHeight="true" outlineLevel="0" collapsed="false">
      <c r="A14" s="46" t="s">
        <v>70</v>
      </c>
      <c r="B14" s="46"/>
      <c r="C14" s="46"/>
      <c r="D14" s="46"/>
      <c r="E14" s="46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4" t="n">
        <f aca="false">IFERROR(PERCENTILE(IF(ISNUMBER(AA5:AA9),AA5:AA9),0.75),"NM")</f>
        <v>0</v>
      </c>
      <c r="AB14" s="44" t="n">
        <f aca="false">IFERROR(PERCENTILE(IF(ISNUMBER(AB5:AB9),AB5:AB9),0.75),"NM")</f>
        <v>0</v>
      </c>
      <c r="AC14" s="44" t="n">
        <f aca="false">IFERROR(PERCENTILE(IF(ISNUMBER(AC5:AC9),AC5:AC9),0.75),"NM")</f>
        <v>0</v>
      </c>
      <c r="AD14" s="44" t="n">
        <f aca="false">IFERROR(PERCENTILE(IF(ISNUMBER(AD5:AD9),AD5:AD9),0.75),"NM")</f>
        <v>0</v>
      </c>
      <c r="AE14" s="44" t="n">
        <f aca="false">IFERROR(PERCENTILE(IF(ISNUMBER(AE5:AE9),AE5:AE9),0.75),"NM")</f>
        <v>0</v>
      </c>
      <c r="AF14" s="44" t="n">
        <f aca="false">IFERROR(PERCENTILE(IF(ISNUMBER(AF5:AF9),AF5:AF9),0.75),"NM")</f>
        <v>0</v>
      </c>
      <c r="AG14" s="44" t="n">
        <f aca="false">IFERROR(PERCENTILE(IF(ISNUMBER(AG5:AG9),AG5:AG9),0.75),"NM")</f>
        <v>0</v>
      </c>
      <c r="AH14" s="44" t="n">
        <f aca="false">IFERROR(PERCENTILE(IF(ISNUMBER(AH5:AH9),AH5:AH9),0.75),"NM")</f>
        <v>0</v>
      </c>
      <c r="AI14" s="44" t="n">
        <f aca="false">IFERROR(PERCENTILE(IF(ISNUMBER(AI5:AI9),AI5:AI9),0.75),"NM")</f>
        <v>0</v>
      </c>
      <c r="AJ14" s="45" t="n">
        <f aca="false">IFERROR(PERCENTILE(IF(ISNUMBER(AJ5:AJ9),AJ5:AJ9),0.75),"NM")</f>
        <v>0</v>
      </c>
    </row>
    <row r="15" customFormat="false" ht="6" hidden="false" customHeight="true" outlineLevel="0" collapsed="false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</row>
    <row r="16" customFormat="false" ht="24" hidden="false" customHeight="true" outlineLevel="0" collapsed="false">
      <c r="A16" s="48" t="s">
        <v>71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</row>
    <row r="17" customFormat="false" ht="18" hidden="false" customHeight="true" outlineLevel="0" collapsed="false">
      <c r="A17" s="49" t="s">
        <v>72</v>
      </c>
      <c r="B17" s="49"/>
      <c r="C17" s="49"/>
      <c r="D17" s="49"/>
      <c r="E17" s="49"/>
      <c r="F17" s="50" t="s">
        <v>73</v>
      </c>
      <c r="G17" s="50"/>
      <c r="H17" s="50"/>
      <c r="I17" s="50" t="s">
        <v>74</v>
      </c>
      <c r="J17" s="50"/>
      <c r="K17" s="50"/>
      <c r="L17" s="50" t="s">
        <v>75</v>
      </c>
      <c r="M17" s="50"/>
      <c r="N17" s="50"/>
    </row>
    <row r="18" customFormat="false" ht="18" hidden="false" customHeight="true" outlineLevel="0" collapsed="false">
      <c r="A18" s="51" t="s">
        <v>76</v>
      </c>
      <c r="B18" s="51"/>
      <c r="C18" s="51"/>
      <c r="D18" s="51"/>
      <c r="E18" s="51"/>
      <c r="F18" s="50" t="s">
        <v>77</v>
      </c>
      <c r="G18" s="50"/>
      <c r="H18" s="50"/>
      <c r="I18" s="50" t="s">
        <v>78</v>
      </c>
      <c r="J18" s="50"/>
      <c r="K18" s="50"/>
      <c r="L18" s="50" t="s">
        <v>79</v>
      </c>
      <c r="M18" s="50"/>
      <c r="N18" s="50"/>
    </row>
    <row r="19" customFormat="false" ht="18" hidden="false" customHeight="true" outlineLevel="0" collapsed="false">
      <c r="A19" s="51" t="s">
        <v>80</v>
      </c>
      <c r="B19" s="51"/>
      <c r="C19" s="51"/>
      <c r="D19" s="51"/>
      <c r="E19" s="51"/>
      <c r="F19" s="52" t="s">
        <v>81</v>
      </c>
      <c r="G19" s="52"/>
      <c r="H19" s="52"/>
      <c r="I19" s="52" t="s">
        <v>82</v>
      </c>
      <c r="J19" s="52"/>
      <c r="K19" s="52"/>
      <c r="L19" s="52" t="s">
        <v>83</v>
      </c>
      <c r="M19" s="52"/>
      <c r="N19" s="52"/>
    </row>
    <row r="20" customFormat="false" ht="18" hidden="false" customHeight="true" outlineLevel="0" collapsed="false">
      <c r="A20" s="51" t="s">
        <v>84</v>
      </c>
      <c r="B20" s="51"/>
      <c r="C20" s="51"/>
      <c r="D20" s="51"/>
      <c r="E20" s="51"/>
      <c r="F20" s="52" t="s">
        <v>85</v>
      </c>
      <c r="G20" s="52"/>
      <c r="H20" s="52"/>
      <c r="I20" s="52" t="s">
        <v>86</v>
      </c>
      <c r="J20" s="52"/>
      <c r="K20" s="52"/>
      <c r="L20" s="52" t="s">
        <v>87</v>
      </c>
      <c r="M20" s="52"/>
      <c r="N20" s="52"/>
    </row>
    <row r="21" customFormat="false" ht="18" hidden="false" customHeight="true" outlineLevel="0" collapsed="false">
      <c r="A21" s="49" t="s">
        <v>88</v>
      </c>
      <c r="B21" s="49"/>
      <c r="C21" s="49"/>
      <c r="D21" s="49"/>
      <c r="E21" s="49"/>
      <c r="F21" s="53" t="n">
        <f aca="false">AG11</f>
        <v>0</v>
      </c>
      <c r="G21" s="53"/>
      <c r="H21" s="53"/>
      <c r="I21" s="50" t="s">
        <v>89</v>
      </c>
      <c r="J21" s="50"/>
      <c r="K21" s="50"/>
      <c r="L21" s="50" t="s">
        <v>90</v>
      </c>
      <c r="M21" s="50"/>
      <c r="N21" s="50"/>
    </row>
    <row r="22" customFormat="false" ht="7.5" hidden="false" customHeight="true" outlineLevel="0" collapsed="false"/>
    <row r="23" customFormat="false" ht="21.75" hidden="false" customHeight="true" outlineLevel="0" collapsed="false">
      <c r="A23" s="54" t="s">
        <v>91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</row>
    <row r="24" customFormat="false" ht="15.75" hidden="false" customHeight="true" outlineLevel="0" collapsed="false">
      <c r="A24" s="55" t="s">
        <v>92</v>
      </c>
      <c r="B24" s="55"/>
      <c r="C24" s="55"/>
      <c r="D24" s="55"/>
      <c r="E24" s="56" t="s">
        <v>93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</row>
    <row r="25" customFormat="false" ht="15.75" hidden="false" customHeight="true" outlineLevel="0" collapsed="false">
      <c r="A25" s="57" t="s">
        <v>94</v>
      </c>
      <c r="B25" s="57"/>
      <c r="C25" s="57"/>
      <c r="D25" s="57"/>
      <c r="E25" s="56" t="s">
        <v>95</v>
      </c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</row>
    <row r="26" customFormat="false" ht="15.75" hidden="false" customHeight="true" outlineLevel="0" collapsed="false">
      <c r="A26" s="58" t="s">
        <v>96</v>
      </c>
      <c r="B26" s="58"/>
      <c r="C26" s="58"/>
      <c r="D26" s="58"/>
      <c r="E26" s="56" t="s">
        <v>97</v>
      </c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</row>
    <row r="27" customFormat="false" ht="15.75" hidden="false" customHeight="true" outlineLevel="0" collapsed="false">
      <c r="A27" s="59" t="s">
        <v>98</v>
      </c>
      <c r="B27" s="59"/>
      <c r="C27" s="59"/>
      <c r="D27" s="59"/>
      <c r="E27" s="56" t="s">
        <v>99</v>
      </c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</row>
  </sheetData>
  <mergeCells count="46">
    <mergeCell ref="A1:AJ1"/>
    <mergeCell ref="A2:D2"/>
    <mergeCell ref="E2:G2"/>
    <mergeCell ref="H2:K2"/>
    <mergeCell ref="B3:E3"/>
    <mergeCell ref="F3:K3"/>
    <mergeCell ref="L3:P3"/>
    <mergeCell ref="Q3:U3"/>
    <mergeCell ref="V3:Z3"/>
    <mergeCell ref="AA3:AE3"/>
    <mergeCell ref="AF3:AJ3"/>
    <mergeCell ref="A11:E11"/>
    <mergeCell ref="A12:E12"/>
    <mergeCell ref="A13:E13"/>
    <mergeCell ref="A14:E14"/>
    <mergeCell ref="A15:AJ15"/>
    <mergeCell ref="A16:AJ16"/>
    <mergeCell ref="A17:E17"/>
    <mergeCell ref="F17:H17"/>
    <mergeCell ref="I17:K17"/>
    <mergeCell ref="L17:N17"/>
    <mergeCell ref="A18:E18"/>
    <mergeCell ref="F18:H18"/>
    <mergeCell ref="I18:K18"/>
    <mergeCell ref="L18:N18"/>
    <mergeCell ref="A19:E19"/>
    <mergeCell ref="F19:H19"/>
    <mergeCell ref="I19:K19"/>
    <mergeCell ref="L19:N19"/>
    <mergeCell ref="A20:E20"/>
    <mergeCell ref="F20:H20"/>
    <mergeCell ref="I20:K20"/>
    <mergeCell ref="L20:N20"/>
    <mergeCell ref="A21:E21"/>
    <mergeCell ref="F21:H21"/>
    <mergeCell ref="I21:K21"/>
    <mergeCell ref="L21:N21"/>
    <mergeCell ref="A23:AJ23"/>
    <mergeCell ref="A24:D24"/>
    <mergeCell ref="E24:AJ24"/>
    <mergeCell ref="A25:D25"/>
    <mergeCell ref="E25:AJ25"/>
    <mergeCell ref="A26:D26"/>
    <mergeCell ref="E26:AJ26"/>
    <mergeCell ref="A27:D27"/>
    <mergeCell ref="E27:A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60" t="s">
        <v>100</v>
      </c>
      <c r="B1" s="60"/>
      <c r="C1" s="60"/>
    </row>
    <row r="2" customFormat="false" ht="16.5" hidden="false" customHeight="true" outlineLevel="0" collapsed="false">
      <c r="A2" s="61"/>
      <c r="B2" s="62" t="s">
        <v>101</v>
      </c>
      <c r="C2" s="63" t="s">
        <v>102</v>
      </c>
    </row>
    <row r="3" customFormat="false" ht="16.5" hidden="false" customHeight="true" outlineLevel="0" collapsed="false">
      <c r="A3" s="64"/>
      <c r="B3" s="65" t="s">
        <v>103</v>
      </c>
      <c r="C3" s="66" t="s">
        <v>104</v>
      </c>
    </row>
    <row r="4" customFormat="false" ht="16.5" hidden="false" customHeight="true" outlineLevel="0" collapsed="false">
      <c r="A4" s="61"/>
      <c r="B4" s="62" t="s">
        <v>105</v>
      </c>
      <c r="C4" s="67" t="s">
        <v>106</v>
      </c>
    </row>
    <row r="5" customFormat="false" ht="16.5" hidden="false" customHeight="true" outlineLevel="0" collapsed="false">
      <c r="A5" s="64"/>
      <c r="B5" s="65" t="s">
        <v>107</v>
      </c>
      <c r="C5" s="66" t="s">
        <v>108</v>
      </c>
    </row>
    <row r="6" customFormat="false" ht="16.5" hidden="false" customHeight="true" outlineLevel="0" collapsed="false">
      <c r="A6" s="61"/>
      <c r="B6" s="68"/>
      <c r="C6" s="63"/>
    </row>
    <row r="7" customFormat="false" ht="16.5" hidden="false" customHeight="true" outlineLevel="0" collapsed="false">
      <c r="A7" s="64"/>
      <c r="B7" s="69" t="s">
        <v>109</v>
      </c>
      <c r="C7" s="66" t="s">
        <v>110</v>
      </c>
    </row>
    <row r="8" customFormat="false" ht="16.5" hidden="false" customHeight="true" outlineLevel="0" collapsed="false">
      <c r="A8" s="61"/>
      <c r="B8" s="70" t="s">
        <v>111</v>
      </c>
      <c r="C8" s="63" t="s">
        <v>112</v>
      </c>
    </row>
    <row r="9" customFormat="false" ht="16.5" hidden="false" customHeight="true" outlineLevel="0" collapsed="false">
      <c r="A9" s="64"/>
      <c r="B9" s="69" t="s">
        <v>113</v>
      </c>
      <c r="C9" s="71" t="s">
        <v>114</v>
      </c>
    </row>
    <row r="10" customFormat="false" ht="16.5" hidden="false" customHeight="true" outlineLevel="0" collapsed="false">
      <c r="A10" s="61"/>
      <c r="B10" s="70" t="s">
        <v>115</v>
      </c>
      <c r="C10" s="67" t="s">
        <v>116</v>
      </c>
    </row>
    <row r="11" customFormat="false" ht="16.5" hidden="false" customHeight="true" outlineLevel="0" collapsed="false">
      <c r="A11" s="64"/>
      <c r="B11" s="69" t="s">
        <v>117</v>
      </c>
      <c r="C11" s="71" t="s">
        <v>118</v>
      </c>
    </row>
    <row r="12" customFormat="false" ht="16.5" hidden="false" customHeight="true" outlineLevel="0" collapsed="false">
      <c r="A12" s="61"/>
      <c r="B12" s="70" t="s">
        <v>119</v>
      </c>
      <c r="C12" s="67" t="s">
        <v>120</v>
      </c>
    </row>
    <row r="13" customFormat="false" ht="16.5" hidden="false" customHeight="true" outlineLevel="0" collapsed="false">
      <c r="A13" s="64"/>
      <c r="B13" s="69" t="s">
        <v>121</v>
      </c>
      <c r="C13" s="71" t="s">
        <v>122</v>
      </c>
    </row>
    <row r="14" customFormat="false" ht="16.5" hidden="false" customHeight="true" outlineLevel="0" collapsed="false">
      <c r="A14" s="61"/>
      <c r="B14" s="70" t="s">
        <v>123</v>
      </c>
      <c r="C14" s="67" t="s">
        <v>124</v>
      </c>
    </row>
    <row r="15" customFormat="false" ht="16.5" hidden="false" customHeight="true" outlineLevel="0" collapsed="false">
      <c r="A15" s="64"/>
      <c r="B15" s="69" t="s">
        <v>125</v>
      </c>
      <c r="C15" s="71" t="s">
        <v>126</v>
      </c>
    </row>
    <row r="16" customFormat="false" ht="16.5" hidden="false" customHeight="true" outlineLevel="0" collapsed="false">
      <c r="A16" s="61"/>
      <c r="B16" s="70" t="s">
        <v>127</v>
      </c>
      <c r="C16" s="67" t="s">
        <v>128</v>
      </c>
    </row>
    <row r="17" customFormat="false" ht="16.5" hidden="false" customHeight="true" outlineLevel="0" collapsed="false">
      <c r="A17" s="64"/>
      <c r="B17" s="69" t="s">
        <v>129</v>
      </c>
      <c r="C17" s="66" t="s">
        <v>130</v>
      </c>
    </row>
    <row r="18" customFormat="false" ht="16.5" hidden="false" customHeight="true" outlineLevel="0" collapsed="false">
      <c r="A18" s="61"/>
      <c r="B18" s="70" t="s">
        <v>131</v>
      </c>
      <c r="C18" s="63" t="s">
        <v>132</v>
      </c>
    </row>
    <row r="19" customFormat="false" ht="16.5" hidden="false" customHeight="true" outlineLevel="0" collapsed="false">
      <c r="A19" s="64"/>
      <c r="B19" s="72"/>
      <c r="C19" s="66"/>
    </row>
    <row r="20" customFormat="false" ht="16.5" hidden="false" customHeight="true" outlineLevel="0" collapsed="false">
      <c r="A20" s="61"/>
      <c r="B20" s="70" t="s">
        <v>133</v>
      </c>
      <c r="C20" s="67" t="s">
        <v>134</v>
      </c>
    </row>
    <row r="21" customFormat="false" ht="16.5" hidden="false" customHeight="true" outlineLevel="0" collapsed="false">
      <c r="A21" s="64"/>
      <c r="B21" s="69" t="s">
        <v>135</v>
      </c>
      <c r="C21" s="71" t="s">
        <v>136</v>
      </c>
    </row>
    <row r="22" customFormat="false" ht="16.5" hidden="false" customHeight="true" outlineLevel="0" collapsed="false">
      <c r="A22" s="61"/>
      <c r="B22" s="62" t="s">
        <v>137</v>
      </c>
      <c r="C22" s="67" t="s">
        <v>138</v>
      </c>
    </row>
    <row r="23" customFormat="false" ht="16.5" hidden="false" customHeight="true" outlineLevel="0" collapsed="false">
      <c r="A23" s="64"/>
      <c r="B23" s="65" t="s">
        <v>139</v>
      </c>
      <c r="C23" s="66" t="s">
        <v>140</v>
      </c>
    </row>
    <row r="24" customFormat="false" ht="16.5" hidden="false" customHeight="true" outlineLevel="0" collapsed="false">
      <c r="A24" s="61"/>
      <c r="B24" s="68"/>
      <c r="C24" s="63"/>
    </row>
    <row r="25" customFormat="false" ht="16.5" hidden="false" customHeight="true" outlineLevel="0" collapsed="false">
      <c r="A25" s="64"/>
      <c r="B25" s="69" t="s">
        <v>141</v>
      </c>
      <c r="C25" s="71" t="s">
        <v>142</v>
      </c>
    </row>
    <row r="26" customFormat="false" ht="16.5" hidden="false" customHeight="true" outlineLevel="0" collapsed="false">
      <c r="A26" s="61"/>
      <c r="B26" s="70" t="s">
        <v>143</v>
      </c>
      <c r="C26" s="63" t="s">
        <v>144</v>
      </c>
    </row>
    <row r="27" customFormat="false" ht="16.5" hidden="false" customHeight="true" outlineLevel="0" collapsed="false">
      <c r="A27" s="64"/>
      <c r="B27" s="65" t="s">
        <v>145</v>
      </c>
      <c r="C27" s="66" t="s">
        <v>146</v>
      </c>
    </row>
    <row r="28" customFormat="false" ht="16.5" hidden="false" customHeight="true" outlineLevel="0" collapsed="false">
      <c r="A28" s="61"/>
      <c r="B28" s="62" t="s">
        <v>147</v>
      </c>
      <c r="C28" s="63" t="s">
        <v>148</v>
      </c>
    </row>
    <row r="29" customFormat="false" ht="16.5" hidden="false" customHeight="true" outlineLevel="0" collapsed="false">
      <c r="A29" s="64"/>
      <c r="B29" s="69" t="s">
        <v>149</v>
      </c>
      <c r="C29" s="66" t="s">
        <v>150</v>
      </c>
    </row>
    <row r="30" customFormat="false" ht="16.5" hidden="false" customHeight="true" outlineLevel="0" collapsed="false">
      <c r="A30" s="61"/>
      <c r="B30" s="62" t="s">
        <v>151</v>
      </c>
      <c r="C30" s="63" t="s">
        <v>152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2026-04-07T05:57:19Z</dcterms:created>
  <dc:creator>openpyxl</dc:creator>
  <dc:description/>
  <dc:language>en-US</dc:language>
  <cp:lastModifiedBy/>
  <dcterms:modified xsi:type="dcterms:W3CDTF">2026-04-07T05:57:19Z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